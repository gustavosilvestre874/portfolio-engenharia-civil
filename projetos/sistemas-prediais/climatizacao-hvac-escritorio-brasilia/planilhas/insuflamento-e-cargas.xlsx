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02166D30-C259-40FC-B4D8-C0FF95474E0E}" xr6:coauthVersionLast="47" xr6:coauthVersionMax="47" xr10:uidLastSave="{00000000-0000-0000-0000-000000000000}"/>
  <bookViews>
    <workbookView xWindow="-108" yWindow="-108" windowWidth="23256" windowHeight="12456" activeTab="3" xr2:uid="{AB9904A5-9865-4F13-B649-D8A1FCB5F7FD}"/>
  </bookViews>
  <sheets>
    <sheet name="Planilha1" sheetId="1" r:id="rId1"/>
    <sheet name="Planilha6" sheetId="9" r:id="rId2"/>
    <sheet name="Planilha5" sheetId="7" r:id="rId3"/>
    <sheet name="INSUFLAÇÃO" sheetId="8" r:id="rId4"/>
    <sheet name="INSUFLAÇÃO - S e T" sheetId="10" r:id="rId5"/>
    <sheet name="Planilha4" sheetId="4" r:id="rId6"/>
    <sheet name="Planilha2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4" i="8" l="1"/>
  <c r="AE4" i="8"/>
  <c r="M10" i="8"/>
  <c r="R17" i="8"/>
  <c r="O14" i="8"/>
  <c r="O12" i="8"/>
  <c r="O13" i="8"/>
  <c r="R13" i="8"/>
  <c r="R14" i="8"/>
  <c r="R15" i="8"/>
  <c r="R16" i="8"/>
  <c r="O11" i="8"/>
  <c r="AA8" i="10" l="1"/>
  <c r="AC8" i="10" s="1"/>
  <c r="X8" i="10"/>
  <c r="Y8" i="10" s="1"/>
  <c r="W8" i="10"/>
  <c r="AA7" i="10"/>
  <c r="AC7" i="10" s="1"/>
  <c r="W7" i="10"/>
  <c r="X7" i="10" s="1"/>
  <c r="Y7" i="10" s="1"/>
  <c r="AA6" i="10"/>
  <c r="AC6" i="10" s="1"/>
  <c r="W6" i="10"/>
  <c r="X6" i="10" s="1"/>
  <c r="Y6" i="10" s="1"/>
  <c r="W5" i="10"/>
  <c r="AA5" i="10" s="1"/>
  <c r="AC5" i="10" s="1"/>
  <c r="X4" i="10"/>
  <c r="Y4" i="10" s="1"/>
  <c r="W4" i="10"/>
  <c r="AA4" i="10" s="1"/>
  <c r="AC4" i="10" s="1"/>
  <c r="AA3" i="10"/>
  <c r="AC3" i="10" s="1"/>
  <c r="W3" i="10"/>
  <c r="X3" i="10" s="1"/>
  <c r="Y3" i="10" s="1"/>
  <c r="AA2" i="10"/>
  <c r="AC2" i="10" s="1"/>
  <c r="W2" i="10"/>
  <c r="X2" i="10" s="1"/>
  <c r="Y2" i="10" s="1"/>
  <c r="S5" i="10"/>
  <c r="S6" i="10"/>
  <c r="S7" i="10"/>
  <c r="S8" i="10"/>
  <c r="S4" i="10"/>
  <c r="S3" i="10"/>
  <c r="S2" i="10"/>
  <c r="O3" i="10"/>
  <c r="O4" i="10"/>
  <c r="O5" i="10"/>
  <c r="O6" i="10"/>
  <c r="O7" i="10"/>
  <c r="O8" i="10"/>
  <c r="O2" i="10"/>
  <c r="P7" i="10"/>
  <c r="P4" i="10"/>
  <c r="P3" i="10"/>
  <c r="P2" i="10"/>
  <c r="B17" i="10"/>
  <c r="B16" i="10"/>
  <c r="B15" i="10"/>
  <c r="B14" i="10"/>
  <c r="B13" i="10"/>
  <c r="B12" i="10"/>
  <c r="B11" i="10"/>
  <c r="K37" i="10"/>
  <c r="K38" i="10" s="1"/>
  <c r="G37" i="10"/>
  <c r="G38" i="10" s="1"/>
  <c r="D17" i="10"/>
  <c r="C17" i="10"/>
  <c r="P8" i="10" s="1"/>
  <c r="D16" i="10"/>
  <c r="C16" i="10"/>
  <c r="D15" i="10"/>
  <c r="C15" i="10"/>
  <c r="P6" i="10" s="1"/>
  <c r="D14" i="10"/>
  <c r="C14" i="10"/>
  <c r="P5" i="10" s="1"/>
  <c r="D13" i="10"/>
  <c r="C13" i="10"/>
  <c r="D12" i="10"/>
  <c r="C12" i="10"/>
  <c r="D11" i="10"/>
  <c r="C11" i="10"/>
  <c r="I2" i="10"/>
  <c r="I1" i="10" s="1"/>
  <c r="I5" i="10" s="1"/>
  <c r="C2" i="10"/>
  <c r="C1" i="10" s="1"/>
  <c r="C5" i="10" s="1"/>
  <c r="F1" i="10"/>
  <c r="F5" i="10" s="1"/>
  <c r="K37" i="8"/>
  <c r="K38" i="8" s="1"/>
  <c r="G37" i="8"/>
  <c r="G38" i="8" s="1"/>
  <c r="C2" i="8"/>
  <c r="C1" i="8" s="1"/>
  <c r="C5" i="8" s="1"/>
  <c r="D15" i="8"/>
  <c r="D17" i="8"/>
  <c r="D16" i="8"/>
  <c r="D14" i="8"/>
  <c r="D13" i="8"/>
  <c r="D12" i="8"/>
  <c r="D11" i="8"/>
  <c r="C17" i="8"/>
  <c r="Q8" i="8" s="1"/>
  <c r="C16" i="8"/>
  <c r="Q7" i="8" s="1"/>
  <c r="C15" i="8"/>
  <c r="Q6" i="8" s="1"/>
  <c r="C14" i="8"/>
  <c r="C13" i="8"/>
  <c r="Q4" i="8" s="1"/>
  <c r="C12" i="8"/>
  <c r="Q3" i="8" s="1"/>
  <c r="C11" i="8"/>
  <c r="Q2" i="8" s="1"/>
  <c r="B17" i="8"/>
  <c r="B16" i="8"/>
  <c r="B15" i="8"/>
  <c r="B14" i="8"/>
  <c r="B13" i="8"/>
  <c r="B12" i="8"/>
  <c r="B11" i="8"/>
  <c r="I2" i="8"/>
  <c r="I1" i="8" s="1"/>
  <c r="I5" i="8" s="1"/>
  <c r="E38" i="7"/>
  <c r="H4" i="7" s="1"/>
  <c r="K4" i="7" s="1"/>
  <c r="E45" i="7"/>
  <c r="H11" i="7" s="1"/>
  <c r="F1" i="8"/>
  <c r="F5" i="8" s="1"/>
  <c r="L95" i="7"/>
  <c r="L86" i="7"/>
  <c r="L87" i="7"/>
  <c r="L88" i="7"/>
  <c r="L89" i="7"/>
  <c r="L90" i="7"/>
  <c r="L91" i="7"/>
  <c r="L92" i="7"/>
  <c r="L93" i="7"/>
  <c r="L94" i="7"/>
  <c r="L85" i="7"/>
  <c r="L84" i="7"/>
  <c r="E12" i="7"/>
  <c r="K6" i="7"/>
  <c r="K3" i="7"/>
  <c r="H13" i="7"/>
  <c r="I43" i="7"/>
  <c r="I46" i="7" s="1"/>
  <c r="C11" i="7"/>
  <c r="E11" i="7"/>
  <c r="G11" i="7"/>
  <c r="I11" i="7"/>
  <c r="D11" i="7"/>
  <c r="H5" i="7"/>
  <c r="H6" i="7"/>
  <c r="H7" i="7"/>
  <c r="H8" i="7"/>
  <c r="H9" i="7"/>
  <c r="H10" i="7"/>
  <c r="H12" i="7"/>
  <c r="H3" i="7"/>
  <c r="E47" i="7"/>
  <c r="E46" i="7"/>
  <c r="E44" i="7"/>
  <c r="E43" i="7"/>
  <c r="E42" i="7"/>
  <c r="E41" i="7"/>
  <c r="E40" i="7"/>
  <c r="E39" i="7"/>
  <c r="E37" i="7"/>
  <c r="J24" i="8" l="1"/>
  <c r="J27" i="8" s="1"/>
  <c r="O7" i="8" s="1"/>
  <c r="P7" i="8" s="1"/>
  <c r="T7" i="8" s="1"/>
  <c r="C18" i="8"/>
  <c r="X5" i="10"/>
  <c r="Y5" i="10" s="1"/>
  <c r="F24" i="8"/>
  <c r="Q5" i="8"/>
  <c r="C18" i="10"/>
  <c r="J24" i="10"/>
  <c r="F24" i="10"/>
  <c r="D4" i="7"/>
  <c r="C4" i="7"/>
  <c r="E4" i="7"/>
  <c r="F4" i="7"/>
  <c r="I4" i="7"/>
  <c r="E20" i="7"/>
  <c r="E23" i="7"/>
  <c r="E30" i="7"/>
  <c r="E29" i="7"/>
  <c r="E21" i="7"/>
  <c r="E28" i="7"/>
  <c r="E25" i="7"/>
  <c r="N6" i="7"/>
  <c r="BF54" i="1"/>
  <c r="BF53" i="1"/>
  <c r="BF52" i="1"/>
  <c r="BF51" i="1"/>
  <c r="BF50" i="1"/>
  <c r="BF49" i="1"/>
  <c r="BF48" i="1"/>
  <c r="BF47" i="1"/>
  <c r="BF46" i="1"/>
  <c r="BF45" i="1"/>
  <c r="BF44" i="1"/>
  <c r="BG52" i="1"/>
  <c r="BG48" i="1"/>
  <c r="BG49" i="1"/>
  <c r="BG50" i="1"/>
  <c r="BG51" i="1"/>
  <c r="BG53" i="1"/>
  <c r="BG54" i="1"/>
  <c r="AL67" i="1"/>
  <c r="BG47" i="1"/>
  <c r="BG46" i="1"/>
  <c r="BG45" i="1"/>
  <c r="BG44" i="1"/>
  <c r="AI55" i="1"/>
  <c r="N4" i="7"/>
  <c r="N3" i="7"/>
  <c r="N5" i="7"/>
  <c r="N7" i="7"/>
  <c r="N8" i="7"/>
  <c r="N9" i="7"/>
  <c r="N10" i="7"/>
  <c r="N11" i="7"/>
  <c r="N12" i="7"/>
  <c r="N13" i="7"/>
  <c r="R7" i="8" l="1"/>
  <c r="X7" i="8" s="1"/>
  <c r="O6" i="8"/>
  <c r="P6" i="8" s="1"/>
  <c r="T6" i="8" s="1"/>
  <c r="O8" i="8"/>
  <c r="P8" i="8" s="1"/>
  <c r="T8" i="8" s="1"/>
  <c r="O5" i="8"/>
  <c r="P5" i="8" s="1"/>
  <c r="T5" i="8" s="1"/>
  <c r="J41" i="8"/>
  <c r="J46" i="8" s="1"/>
  <c r="J49" i="8" s="1"/>
  <c r="F27" i="10"/>
  <c r="F41" i="10" s="1"/>
  <c r="F46" i="10" s="1"/>
  <c r="N3" i="10"/>
  <c r="Q3" i="10" s="1"/>
  <c r="N4" i="10"/>
  <c r="Q4" i="10" s="1"/>
  <c r="N2" i="10"/>
  <c r="Q2" i="10" s="1"/>
  <c r="J27" i="10"/>
  <c r="N5" i="10" s="1"/>
  <c r="Q5" i="10" s="1"/>
  <c r="N8" i="10"/>
  <c r="Q8" i="10" s="1"/>
  <c r="F52" i="10"/>
  <c r="F49" i="10"/>
  <c r="E31" i="7"/>
  <c r="I14" i="7"/>
  <c r="AF55" i="1"/>
  <c r="O13" i="7"/>
  <c r="P13" i="7" s="1"/>
  <c r="G13" i="7" s="1"/>
  <c r="O4" i="7"/>
  <c r="O5" i="7"/>
  <c r="O6" i="7"/>
  <c r="O7" i="7"/>
  <c r="O8" i="7"/>
  <c r="P8" i="7" s="1"/>
  <c r="G8" i="7" s="1"/>
  <c r="P9" i="7"/>
  <c r="O9" i="7"/>
  <c r="O10" i="7"/>
  <c r="O11" i="7"/>
  <c r="O12" i="7"/>
  <c r="P12" i="7" s="1"/>
  <c r="O3" i="7"/>
  <c r="F12" i="7"/>
  <c r="C12" i="7"/>
  <c r="F11" i="7"/>
  <c r="F10" i="7"/>
  <c r="C10" i="7"/>
  <c r="F9" i="7"/>
  <c r="C9" i="7"/>
  <c r="C8" i="7"/>
  <c r="F8" i="7"/>
  <c r="F7" i="7"/>
  <c r="C7" i="7"/>
  <c r="F6" i="7"/>
  <c r="C6" i="7"/>
  <c r="F5" i="7"/>
  <c r="F3" i="7"/>
  <c r="C3" i="7"/>
  <c r="AF46" i="1"/>
  <c r="AF47" i="1"/>
  <c r="AF48" i="1"/>
  <c r="E6" i="9" s="1"/>
  <c r="AF49" i="1"/>
  <c r="E7" i="9" s="1"/>
  <c r="AF50" i="1"/>
  <c r="E8" i="9" s="1"/>
  <c r="AF51" i="1"/>
  <c r="E9" i="9" s="1"/>
  <c r="AF52" i="1"/>
  <c r="AF53" i="1"/>
  <c r="AF54" i="1"/>
  <c r="AF45" i="1"/>
  <c r="E3" i="9" s="1"/>
  <c r="BD15" i="1"/>
  <c r="BD14" i="1"/>
  <c r="BD13" i="1"/>
  <c r="BD12" i="1"/>
  <c r="BD11" i="1"/>
  <c r="BD10" i="1"/>
  <c r="BD9" i="1"/>
  <c r="BD8" i="1"/>
  <c r="BD7" i="1"/>
  <c r="BD6" i="1"/>
  <c r="BD5" i="1"/>
  <c r="AU5" i="1"/>
  <c r="BA15" i="1"/>
  <c r="BA14" i="1"/>
  <c r="BA13" i="1"/>
  <c r="BA12" i="1"/>
  <c r="BA11" i="1"/>
  <c r="BA10" i="1"/>
  <c r="BA9" i="1"/>
  <c r="BA8" i="1"/>
  <c r="BA7" i="1"/>
  <c r="BA6" i="1"/>
  <c r="BA5" i="1"/>
  <c r="AX15" i="1"/>
  <c r="AX14" i="1"/>
  <c r="AX13" i="1"/>
  <c r="AX12" i="1"/>
  <c r="AX11" i="1"/>
  <c r="AX10" i="1"/>
  <c r="AX9" i="1"/>
  <c r="AX8" i="1"/>
  <c r="AX7" i="1"/>
  <c r="AX6" i="1"/>
  <c r="AX5" i="1"/>
  <c r="T39" i="1"/>
  <c r="P39" i="1"/>
  <c r="R39" i="1" s="1"/>
  <c r="T38" i="1"/>
  <c r="P38" i="1"/>
  <c r="R38" i="1" s="1"/>
  <c r="P37" i="1"/>
  <c r="R37" i="1" s="1"/>
  <c r="T36" i="1"/>
  <c r="P36" i="1"/>
  <c r="R36" i="1" s="1"/>
  <c r="P32" i="1"/>
  <c r="R32" i="1" s="1"/>
  <c r="T31" i="1"/>
  <c r="P31" i="1"/>
  <c r="R31" i="1" s="1"/>
  <c r="T30" i="1"/>
  <c r="P30" i="1"/>
  <c r="R30" i="1" s="1"/>
  <c r="T29" i="1"/>
  <c r="P29" i="1"/>
  <c r="R29" i="1" s="1"/>
  <c r="P25" i="1"/>
  <c r="R25" i="1" s="1"/>
  <c r="P24" i="1"/>
  <c r="R24" i="1" s="1"/>
  <c r="P23" i="1"/>
  <c r="R23" i="1" s="1"/>
  <c r="P22" i="1"/>
  <c r="R22" i="1" s="1"/>
  <c r="P18" i="1"/>
  <c r="R18" i="1" s="1"/>
  <c r="U18" i="1" s="1"/>
  <c r="P15" i="1"/>
  <c r="R15" i="1" s="1"/>
  <c r="U15" i="1" s="1"/>
  <c r="P16" i="1"/>
  <c r="R16" i="1" s="1"/>
  <c r="P17" i="1"/>
  <c r="R17" i="1" s="1"/>
  <c r="U17" i="1" s="1"/>
  <c r="P14" i="1"/>
  <c r="R14" i="1" s="1"/>
  <c r="T14" i="1"/>
  <c r="AU13" i="1"/>
  <c r="AU12" i="1"/>
  <c r="AU15" i="1"/>
  <c r="AU14" i="1"/>
  <c r="AU11" i="1"/>
  <c r="AU10" i="1"/>
  <c r="AU9" i="1"/>
  <c r="AU8" i="1"/>
  <c r="AU7" i="1"/>
  <c r="AU6" i="1"/>
  <c r="AD6" i="1"/>
  <c r="T7" i="1" s="1"/>
  <c r="AD5" i="1"/>
  <c r="T8" i="1" s="1"/>
  <c r="R8" i="1"/>
  <c r="R7" i="1"/>
  <c r="R6" i="1"/>
  <c r="R5" i="1"/>
  <c r="L4" i="1"/>
  <c r="AP15" i="1" s="1"/>
  <c r="J52" i="8" l="1"/>
  <c r="AB7" i="8"/>
  <c r="AD7" i="8" s="1"/>
  <c r="Y7" i="8"/>
  <c r="Z7" i="8" s="1"/>
  <c r="R6" i="8"/>
  <c r="X6" i="8" s="1"/>
  <c r="R5" i="8"/>
  <c r="X5" i="8" s="1"/>
  <c r="R8" i="8"/>
  <c r="X8" i="8" s="1"/>
  <c r="N6" i="10"/>
  <c r="Q6" i="10" s="1"/>
  <c r="N7" i="10"/>
  <c r="Q7" i="10" s="1"/>
  <c r="J41" i="10"/>
  <c r="J46" i="10" s="1"/>
  <c r="F55" i="10"/>
  <c r="F30" i="10" s="1"/>
  <c r="F31" i="10" s="1"/>
  <c r="J49" i="10"/>
  <c r="J52" i="10"/>
  <c r="J55" i="8"/>
  <c r="O14" i="7"/>
  <c r="P3" i="7"/>
  <c r="F14" i="7"/>
  <c r="C14" i="7"/>
  <c r="AP21" i="1"/>
  <c r="AR66" i="1" s="1"/>
  <c r="U47" i="1"/>
  <c r="AP14" i="1"/>
  <c r="AO46" i="1" s="1"/>
  <c r="Q48" i="1"/>
  <c r="AP13" i="1"/>
  <c r="AI45" i="1" s="1"/>
  <c r="Q49" i="1"/>
  <c r="AP22" i="1"/>
  <c r="AO54" i="1" s="1"/>
  <c r="E5" i="7" s="1"/>
  <c r="AO60" i="1"/>
  <c r="AR60" i="1"/>
  <c r="AI60" i="1"/>
  <c r="AO47" i="1"/>
  <c r="AI47" i="1"/>
  <c r="AP19" i="1"/>
  <c r="AR47" i="1"/>
  <c r="AU50" i="1"/>
  <c r="E13" i="9"/>
  <c r="E5" i="9"/>
  <c r="AP20" i="1"/>
  <c r="AI65" i="1" s="1"/>
  <c r="AP18" i="1"/>
  <c r="AO50" i="1" s="1"/>
  <c r="AL60" i="1"/>
  <c r="AO63" i="1"/>
  <c r="E12" i="9"/>
  <c r="E4" i="9"/>
  <c r="AP17" i="1"/>
  <c r="AU62" i="1" s="1"/>
  <c r="AL47" i="1"/>
  <c r="AU60" i="1"/>
  <c r="E11" i="9"/>
  <c r="AP16" i="1"/>
  <c r="AL61" i="1" s="1"/>
  <c r="AU47" i="1"/>
  <c r="AL66" i="1"/>
  <c r="AU59" i="1"/>
  <c r="E10" i="9"/>
  <c r="I54" i="1"/>
  <c r="AP12" i="1"/>
  <c r="AX57" i="1" s="1"/>
  <c r="AU46" i="1"/>
  <c r="AU66" i="1"/>
  <c r="AX60" i="1"/>
  <c r="P7" i="7"/>
  <c r="P6" i="7"/>
  <c r="P5" i="7"/>
  <c r="P11" i="7"/>
  <c r="P4" i="7"/>
  <c r="G4" i="7" s="1"/>
  <c r="P10" i="7"/>
  <c r="G10" i="7" s="1"/>
  <c r="U38" i="1"/>
  <c r="M93" i="1" s="1"/>
  <c r="Q52" i="1"/>
  <c r="Q51" i="1"/>
  <c r="U52" i="1"/>
  <c r="U54" i="1"/>
  <c r="U51" i="1"/>
  <c r="Q46" i="1"/>
  <c r="Q56" i="1"/>
  <c r="I53" i="1"/>
  <c r="I52" i="1"/>
  <c r="Q50" i="1"/>
  <c r="U53" i="1"/>
  <c r="I50" i="1"/>
  <c r="I46" i="1"/>
  <c r="I49" i="1"/>
  <c r="Q55" i="1"/>
  <c r="Q47" i="1"/>
  <c r="U50" i="1"/>
  <c r="I56" i="1"/>
  <c r="I48" i="1"/>
  <c r="Q54" i="1"/>
  <c r="U46" i="1"/>
  <c r="U49" i="1"/>
  <c r="I51" i="1"/>
  <c r="T22" i="1"/>
  <c r="T37" i="1"/>
  <c r="U37" i="1" s="1"/>
  <c r="I55" i="1"/>
  <c r="I47" i="1"/>
  <c r="Q53" i="1"/>
  <c r="U56" i="1"/>
  <c r="U48" i="1"/>
  <c r="T24" i="1"/>
  <c r="U24" i="1" s="1"/>
  <c r="U55" i="1"/>
  <c r="U36" i="1"/>
  <c r="T23" i="1"/>
  <c r="U23" i="1" s="1"/>
  <c r="T25" i="1"/>
  <c r="U25" i="1" s="1"/>
  <c r="T32" i="1"/>
  <c r="U32" i="1" s="1"/>
  <c r="U39" i="1"/>
  <c r="U31" i="1"/>
  <c r="U30" i="1"/>
  <c r="U29" i="1"/>
  <c r="U22" i="1"/>
  <c r="T16" i="1"/>
  <c r="U16" i="1" s="1"/>
  <c r="U14" i="1"/>
  <c r="U8" i="1"/>
  <c r="U7" i="1"/>
  <c r="T6" i="1"/>
  <c r="U6" i="1" s="1"/>
  <c r="T5" i="1"/>
  <c r="U5" i="1" s="1"/>
  <c r="AB8" i="8" l="1"/>
  <c r="AD8" i="8" s="1"/>
  <c r="Y8" i="8"/>
  <c r="Z8" i="8" s="1"/>
  <c r="Y6" i="8"/>
  <c r="Z6" i="8" s="1"/>
  <c r="AB6" i="8"/>
  <c r="AD6" i="8" s="1"/>
  <c r="Y5" i="8"/>
  <c r="Z5" i="8" s="1"/>
  <c r="AB5" i="8"/>
  <c r="AD5" i="8" s="1"/>
  <c r="J55" i="10"/>
  <c r="J30" i="10" s="1"/>
  <c r="J31" i="10" s="1"/>
  <c r="J30" i="8"/>
  <c r="J31" i="8" s="1"/>
  <c r="P14" i="7"/>
  <c r="G3" i="7"/>
  <c r="G14" i="7" s="1"/>
  <c r="AI63" i="1"/>
  <c r="AL53" i="1"/>
  <c r="AL63" i="1"/>
  <c r="AO53" i="1"/>
  <c r="AO66" i="1"/>
  <c r="M89" i="1"/>
  <c r="AO62" i="1"/>
  <c r="AI46" i="1"/>
  <c r="AL59" i="1"/>
  <c r="AX59" i="1"/>
  <c r="AI59" i="1"/>
  <c r="AO49" i="1"/>
  <c r="AR53" i="1"/>
  <c r="AX66" i="1"/>
  <c r="AU53" i="1"/>
  <c r="AL46" i="1"/>
  <c r="AR59" i="1"/>
  <c r="AO57" i="1"/>
  <c r="AI53" i="1"/>
  <c r="AR67" i="1"/>
  <c r="AR46" i="1"/>
  <c r="AI62" i="1"/>
  <c r="AX62" i="1"/>
  <c r="AO59" i="1"/>
  <c r="AL44" i="1"/>
  <c r="AI66" i="1"/>
  <c r="AI58" i="1"/>
  <c r="AI67" i="1"/>
  <c r="E8" i="7" s="1"/>
  <c r="AL65" i="1"/>
  <c r="AO58" i="1"/>
  <c r="AO45" i="1"/>
  <c r="AR52" i="1"/>
  <c r="AU58" i="1"/>
  <c r="AU54" i="1"/>
  <c r="E7" i="7" s="1"/>
  <c r="AU45" i="1"/>
  <c r="AX67" i="1"/>
  <c r="E13" i="7" s="1"/>
  <c r="AU67" i="1"/>
  <c r="AL54" i="1"/>
  <c r="E9" i="7"/>
  <c r="AX58" i="1"/>
  <c r="AX65" i="1"/>
  <c r="AI54" i="1"/>
  <c r="E3" i="7" s="1"/>
  <c r="AR65" i="1"/>
  <c r="AR54" i="1"/>
  <c r="E6" i="7" s="1"/>
  <c r="AO67" i="1"/>
  <c r="E10" i="7" s="1"/>
  <c r="AL45" i="1"/>
  <c r="AL58" i="1"/>
  <c r="AR45" i="1"/>
  <c r="AR58" i="1"/>
  <c r="AO65" i="1"/>
  <c r="M95" i="1"/>
  <c r="AO61" i="1"/>
  <c r="AU57" i="1"/>
  <c r="AU61" i="1"/>
  <c r="AL50" i="1"/>
  <c r="AU63" i="1"/>
  <c r="AR50" i="1"/>
  <c r="AL64" i="1"/>
  <c r="AX64" i="1"/>
  <c r="AO51" i="1"/>
  <c r="AU51" i="1"/>
  <c r="AU64" i="1"/>
  <c r="AL51" i="1"/>
  <c r="AR61" i="1"/>
  <c r="AI61" i="1"/>
  <c r="AR48" i="1"/>
  <c r="AI48" i="1"/>
  <c r="AL48" i="1"/>
  <c r="M96" i="1"/>
  <c r="AI52" i="1"/>
  <c r="AL57" i="1"/>
  <c r="AL62" i="1"/>
  <c r="AR63" i="1"/>
  <c r="AI51" i="1"/>
  <c r="M97" i="1"/>
  <c r="M98" i="1"/>
  <c r="D13" i="7" s="1"/>
  <c r="AU44" i="1"/>
  <c r="AI64" i="1"/>
  <c r="AR49" i="1"/>
  <c r="AI49" i="1"/>
  <c r="AU49" i="1"/>
  <c r="AR62" i="1"/>
  <c r="AR44" i="1"/>
  <c r="AO48" i="1"/>
  <c r="M94" i="1"/>
  <c r="AX63" i="1"/>
  <c r="AU48" i="1"/>
  <c r="AU65" i="1"/>
  <c r="AL52" i="1"/>
  <c r="AU52" i="1"/>
  <c r="AO52" i="1"/>
  <c r="AI50" i="1"/>
  <c r="AX61" i="1"/>
  <c r="AI57" i="1"/>
  <c r="AI44" i="1"/>
  <c r="AR57" i="1"/>
  <c r="AO44" i="1"/>
  <c r="AR64" i="1"/>
  <c r="AO64" i="1"/>
  <c r="AL49" i="1"/>
  <c r="AR51" i="1"/>
  <c r="M92" i="1"/>
  <c r="M90" i="1"/>
  <c r="M91" i="1"/>
  <c r="M88" i="1"/>
  <c r="I90" i="1"/>
  <c r="I88" i="1"/>
  <c r="I92" i="1"/>
  <c r="I95" i="1"/>
  <c r="I98" i="1"/>
  <c r="I93" i="1"/>
  <c r="I91" i="1"/>
  <c r="I94" i="1"/>
  <c r="I89" i="1"/>
  <c r="I96" i="1"/>
  <c r="I97" i="1"/>
  <c r="M66" i="1"/>
  <c r="M70" i="1"/>
  <c r="M65" i="1"/>
  <c r="M67" i="1"/>
  <c r="M68" i="1"/>
  <c r="M62" i="1"/>
  <c r="M61" i="1"/>
  <c r="M69" i="1"/>
  <c r="M63" i="1"/>
  <c r="M60" i="1"/>
  <c r="M64" i="1"/>
  <c r="M76" i="1"/>
  <c r="M84" i="1"/>
  <c r="M83" i="1"/>
  <c r="M77" i="1"/>
  <c r="M74" i="1"/>
  <c r="M78" i="1"/>
  <c r="M75" i="1"/>
  <c r="M79" i="1"/>
  <c r="M80" i="1"/>
  <c r="M81" i="1"/>
  <c r="M82" i="1"/>
  <c r="E78" i="1"/>
  <c r="E79" i="1"/>
  <c r="E82" i="1"/>
  <c r="E80" i="1"/>
  <c r="E74" i="1"/>
  <c r="E81" i="1"/>
  <c r="E77" i="1"/>
  <c r="E75" i="1"/>
  <c r="E83" i="1"/>
  <c r="E76" i="1"/>
  <c r="Z75" i="1" s="1"/>
  <c r="E84" i="1"/>
  <c r="E96" i="1"/>
  <c r="E89" i="1"/>
  <c r="E97" i="1"/>
  <c r="E90" i="1"/>
  <c r="E98" i="1"/>
  <c r="E95" i="1"/>
  <c r="E91" i="1"/>
  <c r="Z90" i="1" s="1"/>
  <c r="E88" i="1"/>
  <c r="Z87" i="1" s="1"/>
  <c r="E92" i="1"/>
  <c r="Z91" i="1" s="1"/>
  <c r="E93" i="1"/>
  <c r="E94" i="1"/>
  <c r="I81" i="1"/>
  <c r="I77" i="1"/>
  <c r="I82" i="1"/>
  <c r="I80" i="1"/>
  <c r="I75" i="1"/>
  <c r="I83" i="1"/>
  <c r="I74" i="1"/>
  <c r="I76" i="1"/>
  <c r="I84" i="1"/>
  <c r="I78" i="1"/>
  <c r="I79" i="1"/>
  <c r="Q89" i="1"/>
  <c r="Q97" i="1"/>
  <c r="Q90" i="1"/>
  <c r="Q98" i="1"/>
  <c r="Q91" i="1"/>
  <c r="Q88" i="1"/>
  <c r="Q92" i="1"/>
  <c r="Q93" i="1"/>
  <c r="Q94" i="1"/>
  <c r="Q95" i="1"/>
  <c r="Q96" i="1"/>
  <c r="Q61" i="1"/>
  <c r="Q69" i="1"/>
  <c r="Q62" i="1"/>
  <c r="Q70" i="1"/>
  <c r="Q63" i="1"/>
  <c r="Q60" i="1"/>
  <c r="Q64" i="1"/>
  <c r="Q65" i="1"/>
  <c r="Q66" i="1"/>
  <c r="Q67" i="1"/>
  <c r="Q68" i="1"/>
  <c r="Q79" i="1"/>
  <c r="Q80" i="1"/>
  <c r="Q81" i="1"/>
  <c r="Q75" i="1"/>
  <c r="Q83" i="1"/>
  <c r="Q82" i="1"/>
  <c r="Q76" i="1"/>
  <c r="Q84" i="1"/>
  <c r="Q77" i="1"/>
  <c r="Q74" i="1"/>
  <c r="Q78" i="1"/>
  <c r="E68" i="1"/>
  <c r="Z67" i="1" s="1"/>
  <c r="E61" i="1"/>
  <c r="E69" i="1"/>
  <c r="E64" i="1"/>
  <c r="E62" i="1"/>
  <c r="E70" i="1"/>
  <c r="E63" i="1"/>
  <c r="E60" i="1"/>
  <c r="E67" i="1"/>
  <c r="E65" i="1"/>
  <c r="E66" i="1"/>
  <c r="I63" i="1"/>
  <c r="I60" i="1"/>
  <c r="I64" i="1"/>
  <c r="I69" i="1"/>
  <c r="I65" i="1"/>
  <c r="I62" i="1"/>
  <c r="I66" i="1"/>
  <c r="I67" i="1"/>
  <c r="I68" i="1"/>
  <c r="I61" i="1"/>
  <c r="I70" i="1"/>
  <c r="D6" i="7" s="1"/>
  <c r="E51" i="1"/>
  <c r="E52" i="1"/>
  <c r="E47" i="1"/>
  <c r="Z46" i="1" s="1"/>
  <c r="E48" i="1"/>
  <c r="E53" i="1"/>
  <c r="E55" i="1"/>
  <c r="E56" i="1"/>
  <c r="E54" i="1"/>
  <c r="E49" i="1"/>
  <c r="E50" i="1"/>
  <c r="Z49" i="1" s="1"/>
  <c r="M49" i="1"/>
  <c r="M46" i="1"/>
  <c r="Z45" i="1" s="1"/>
  <c r="M54" i="1"/>
  <c r="M50" i="1"/>
  <c r="M53" i="1"/>
  <c r="M51" i="1"/>
  <c r="M52" i="1"/>
  <c r="M47" i="1"/>
  <c r="M55" i="1"/>
  <c r="M48" i="1"/>
  <c r="M56" i="1"/>
  <c r="Z79" i="1" l="1"/>
  <c r="Z51" i="1"/>
  <c r="Z60" i="1"/>
  <c r="Z66" i="1"/>
  <c r="Z81" i="1"/>
  <c r="Z64" i="1"/>
  <c r="Z95" i="1"/>
  <c r="Z47" i="1"/>
  <c r="Z53" i="1"/>
  <c r="Z69" i="1"/>
  <c r="Z97" i="1"/>
  <c r="D3" i="7"/>
  <c r="Z55" i="1"/>
  <c r="Z61" i="1"/>
  <c r="Z89" i="1"/>
  <c r="Z76" i="1"/>
  <c r="Z54" i="1"/>
  <c r="Z63" i="1"/>
  <c r="Z93" i="1"/>
  <c r="Z96" i="1"/>
  <c r="Z80" i="1"/>
  <c r="Z52" i="1"/>
  <c r="Z65" i="1"/>
  <c r="Z68" i="1"/>
  <c r="Z92" i="1"/>
  <c r="Z88" i="1"/>
  <c r="Z73" i="1"/>
  <c r="D5" i="7"/>
  <c r="K5" i="7" s="1"/>
  <c r="Z83" i="1"/>
  <c r="Z59" i="1"/>
  <c r="Z78" i="1"/>
  <c r="Z48" i="1"/>
  <c r="Z50" i="1"/>
  <c r="Z62" i="1"/>
  <c r="Z94" i="1"/>
  <c r="Z82" i="1"/>
  <c r="Z77" i="1"/>
  <c r="Z74" i="1"/>
  <c r="K11" i="7"/>
  <c r="E14" i="7"/>
  <c r="K13" i="7"/>
  <c r="D7" i="7"/>
  <c r="K7" i="7" s="1"/>
  <c r="D8" i="7"/>
  <c r="K8" i="7" s="1"/>
  <c r="D9" i="7"/>
  <c r="K9" i="7" s="1"/>
  <c r="D12" i="7"/>
  <c r="K12" i="7" s="1"/>
  <c r="D10" i="7"/>
  <c r="K10" i="7" s="1"/>
  <c r="K14" i="7" l="1"/>
  <c r="D14" i="7"/>
  <c r="F27" i="8"/>
  <c r="O4" i="8" l="1"/>
  <c r="P4" i="8" s="1"/>
  <c r="T4" i="8" s="1"/>
  <c r="O3" i="8"/>
  <c r="P3" i="8" s="1"/>
  <c r="T3" i="8" s="1"/>
  <c r="O2" i="8"/>
  <c r="P2" i="8" s="1"/>
  <c r="T2" i="8" s="1"/>
  <c r="F41" i="8"/>
  <c r="F46" i="8" s="1"/>
  <c r="R2" i="8" l="1"/>
  <c r="X2" i="8" s="1"/>
  <c r="R3" i="8"/>
  <c r="X3" i="8" s="1"/>
  <c r="R4" i="8"/>
  <c r="X4" i="8" s="1"/>
  <c r="F49" i="8"/>
  <c r="F52" i="8"/>
  <c r="AB4" i="8" l="1"/>
  <c r="AD4" i="8" s="1"/>
  <c r="Y4" i="8"/>
  <c r="Z4" i="8" s="1"/>
  <c r="AB3" i="8"/>
  <c r="AD3" i="8" s="1"/>
  <c r="Y3" i="8"/>
  <c r="Z3" i="8" s="1"/>
  <c r="Y2" i="8"/>
  <c r="Z2" i="8" s="1"/>
  <c r="AB2" i="8"/>
  <c r="AD2" i="8" s="1"/>
  <c r="F55" i="8"/>
  <c r="F30" i="8" s="1"/>
  <c r="F31" i="8" s="1"/>
</calcChain>
</file>

<file path=xl/sharedStrings.xml><?xml version="1.0" encoding="utf-8"?>
<sst xmlns="http://schemas.openxmlformats.org/spreadsheetml/2006/main" count="828" uniqueCount="332">
  <si>
    <t>horas</t>
  </si>
  <si>
    <t>Dados Projeto</t>
  </si>
  <si>
    <t>TM</t>
  </si>
  <si>
    <t>Parede externa C</t>
  </si>
  <si>
    <t>Janera</t>
  </si>
  <si>
    <t>TBS</t>
  </si>
  <si>
    <t>Tm=</t>
  </si>
  <si>
    <t xml:space="preserve">nomeclatura </t>
  </si>
  <si>
    <t>orientaçao</t>
  </si>
  <si>
    <t>compri.</t>
  </si>
  <si>
    <t>Pé Direito</t>
  </si>
  <si>
    <t>Area total</t>
  </si>
  <si>
    <t xml:space="preserve">QNT </t>
  </si>
  <si>
    <t>Vão Janeira</t>
  </si>
  <si>
    <t>Area final</t>
  </si>
  <si>
    <t>NOMEN</t>
  </si>
  <si>
    <t>compr</t>
  </si>
  <si>
    <t>Alt</t>
  </si>
  <si>
    <t xml:space="preserve">AREA </t>
  </si>
  <si>
    <t>norte</t>
  </si>
  <si>
    <t>DTCTcorr - Pe1</t>
  </si>
  <si>
    <t>DTCTcorr - Pe2</t>
  </si>
  <si>
    <t>DTCTcorr- Pe3</t>
  </si>
  <si>
    <t>DTCTcorr - Pe4</t>
  </si>
  <si>
    <t>Latitude</t>
  </si>
  <si>
    <t>Sul</t>
  </si>
  <si>
    <t xml:space="preserve">AD </t>
  </si>
  <si>
    <t>Pe1</t>
  </si>
  <si>
    <t>J1</t>
  </si>
  <si>
    <t>Leste</t>
  </si>
  <si>
    <t>Mês&gt;Qt</t>
  </si>
  <si>
    <t>Out</t>
  </si>
  <si>
    <t>Pe2</t>
  </si>
  <si>
    <t>J2</t>
  </si>
  <si>
    <t>k=</t>
  </si>
  <si>
    <t>Pe3</t>
  </si>
  <si>
    <t>Oeste</t>
  </si>
  <si>
    <t>Pe4</t>
  </si>
  <si>
    <t>Norte</t>
  </si>
  <si>
    <t>Parede U</t>
  </si>
  <si>
    <t>Teto U</t>
  </si>
  <si>
    <t>DTCTtab TETO</t>
  </si>
  <si>
    <t>DTCTcorr TETO</t>
  </si>
  <si>
    <t>Parede externa C Pe1</t>
  </si>
  <si>
    <t>trecho</t>
  </si>
  <si>
    <t>Fator LM (Outubro / Lat. 16° S)</t>
  </si>
  <si>
    <t>Orientação Real da Parede (Hemisfério Sul)</t>
  </si>
  <si>
    <t>Norte (N)</t>
  </si>
  <si>
    <t>-3,3</t>
  </si>
  <si>
    <t>Leste (E) / Oeste (O)</t>
  </si>
  <si>
    <t>Oste</t>
  </si>
  <si>
    <t>Sul (S)</t>
  </si>
  <si>
    <t>Parede externa C Pe2</t>
  </si>
  <si>
    <t>leste</t>
  </si>
  <si>
    <t>Parede externa C Pe3</t>
  </si>
  <si>
    <t>Parede externa C Pe4</t>
  </si>
  <si>
    <t>TETO</t>
  </si>
  <si>
    <t>T1</t>
  </si>
  <si>
    <t>carga</t>
  </si>
  <si>
    <t>T2</t>
  </si>
  <si>
    <t>T3</t>
  </si>
  <si>
    <t>T4</t>
  </si>
  <si>
    <t>T5</t>
  </si>
  <si>
    <t>Parede externa Pe1</t>
  </si>
  <si>
    <t>COMP</t>
  </si>
  <si>
    <t>LAR</t>
  </si>
  <si>
    <t>AREA</t>
  </si>
  <si>
    <t>hora</t>
  </si>
  <si>
    <t>T6</t>
  </si>
  <si>
    <t>T7</t>
  </si>
  <si>
    <t>T8</t>
  </si>
  <si>
    <t>T9</t>
  </si>
  <si>
    <t>T10</t>
  </si>
  <si>
    <t>Parede externa Pe2</t>
  </si>
  <si>
    <t>Parede externa Pe3</t>
  </si>
  <si>
    <t>Parede externa Pe4 norte</t>
  </si>
  <si>
    <t>Parede externa Pe4</t>
  </si>
  <si>
    <t>TOTAL</t>
  </si>
  <si>
    <t>1N – Perímetro Norte</t>
  </si>
  <si>
    <t>1S – Perímetro Sul</t>
  </si>
  <si>
    <t>1O – Perímetro Oeste</t>
  </si>
  <si>
    <t>2 – Sala de Máquinas</t>
  </si>
  <si>
    <t>4 – Sala de Reunião</t>
  </si>
  <si>
    <t>5 – Auditório</t>
  </si>
  <si>
    <t>6 – Copa</t>
  </si>
  <si>
    <t>PME3515 – CÁLCULO DE CARGA TÉRMICA DE VIDROS (Equações 12, 13, 14, 15)</t>
  </si>
  <si>
    <t>CT_vidros(h) = CT_vidros,condução(h) + CT_vidros,radiação(h)   |   CT_condução = Uv × Av × DTCTvidros   |   CT_radiação = Av × CS × GCS × FCT   |   DTCTvidros = [(DTCTtab + LM) + (25,5 – Ti) + (Tm – 29,4)]</t>
  </si>
  <si>
    <t>IDENTIFICAÇÃO</t>
  </si>
  <si>
    <t>GEOMETRIA (m)</t>
  </si>
  <si>
    <t>ORIENT.</t>
  </si>
  <si>
    <t>PARÂMETROS</t>
  </si>
  <si>
    <t>CT CONDUÇÃO (Eq.13)</t>
  </si>
  <si>
    <t>CT RADIAÇÃO (Eq.15)</t>
  </si>
  <si>
    <t>TOTAL (Eq.12)</t>
  </si>
  <si>
    <t>ID</t>
  </si>
  <si>
    <t>Zona / Ambiente</t>
  </si>
  <si>
    <t>L (m)</t>
  </si>
  <si>
    <t>H (m)</t>
  </si>
  <si>
    <t>Orient.</t>
  </si>
  <si>
    <t>Av (m²)</t>
  </si>
  <si>
    <t>Uv
(W/m²°C)</t>
  </si>
  <si>
    <t>DTCT
vidros (°C)</t>
  </si>
  <si>
    <t>CS
(–)</t>
  </si>
  <si>
    <t>GCS
(W/m²)</t>
  </si>
  <si>
    <t>FCT
(–)</t>
  </si>
  <si>
    <t>CT_cond
(W)</t>
  </si>
  <si>
    <t>CT_rad
(W)</t>
  </si>
  <si>
    <t>CT_total
(W)</t>
  </si>
  <si>
    <t>▶  FACHADA NORTE</t>
  </si>
  <si>
    <t>J-N01</t>
  </si>
  <si>
    <t>J-N02</t>
  </si>
  <si>
    <t>J-N03</t>
  </si>
  <si>
    <t>J-N04</t>
  </si>
  <si>
    <t>J-N05</t>
  </si>
  <si>
    <t>J-N06</t>
  </si>
  <si>
    <t>J-N07</t>
  </si>
  <si>
    <t>▶  FACHADA SUL</t>
  </si>
  <si>
    <t>J-S01</t>
  </si>
  <si>
    <t>J-S02</t>
  </si>
  <si>
    <t>J-S03</t>
  </si>
  <si>
    <t>J-S04</t>
  </si>
  <si>
    <t>J-S05</t>
  </si>
  <si>
    <t>J-S06</t>
  </si>
  <si>
    <t>J-S07</t>
  </si>
  <si>
    <t>▶  FACHADA OESTE</t>
  </si>
  <si>
    <t>J-O01</t>
  </si>
  <si>
    <t>J-O02</t>
  </si>
  <si>
    <t>J-O03</t>
  </si>
  <si>
    <t>J-O04</t>
  </si>
  <si>
    <t>J-O05</t>
  </si>
  <si>
    <t>J-O06</t>
  </si>
  <si>
    <t>▶  FACHADA LESTE</t>
  </si>
  <si>
    <t>J-L01</t>
  </si>
  <si>
    <t>J-L02</t>
  </si>
  <si>
    <t>J-L03</t>
  </si>
  <si>
    <t>J-L04</t>
  </si>
  <si>
    <t>J-L05</t>
  </si>
  <si>
    <t>J-L06</t>
  </si>
  <si>
    <t>J-N08</t>
  </si>
  <si>
    <t>PME3515 – CÁLCULO DE CARGA TÉRMICA DE PAREDES INTERNAS (ASHRAE Handbook Fundamentals)</t>
  </si>
  <si>
    <t>CT_parede_int = U × Ap × ΔT_adj   |   ASHRAE: Parede adj. a espaço não condicionado → ΔT = Tunc – Ti = ½ × ΔText ≈ 4,0°C   |   Parede entre zonas condicionadas (mesma Tset) → ΔT = 0 (sem carga líquida)</t>
  </si>
  <si>
    <t>FUNDAMENTO (ASHRAE HF Cap.18): A carga de resfriamento por paredes internas só existe quando o ambiente adjacente NÃO é condicionado (banheiros, áreas técnicas não resfriadas, halls). Para ambientes condicionados com a mesma temperatura de setpoint, ΔT = 0 e CT = 0.</t>
  </si>
  <si>
    <t>Parede / Divisória</t>
  </si>
  <si>
    <t>Separa (de → para)</t>
  </si>
  <si>
    <t>Larg (m)</t>
  </si>
  <si>
    <t>Alt (m)</t>
  </si>
  <si>
    <t>Ap (m²)</t>
  </si>
  <si>
    <t>U
(W/m²°C)</t>
  </si>
  <si>
    <t>ΔT_adj
(°C)</t>
  </si>
  <si>
    <t>CT_parede
(W)</t>
  </si>
  <si>
    <t>Observação</t>
  </si>
  <si>
    <t>PI-01</t>
  </si>
  <si>
    <t>Zona 1 (Esc.) ↔ Zona 5 (Audit.)</t>
  </si>
  <si>
    <t>Z1 → Z5</t>
  </si>
  <si>
    <t>Ambas condicionadas – mesma Tset → CT = 0 (ASHRAE HF §18.1)</t>
  </si>
  <si>
    <t>PI-02</t>
  </si>
  <si>
    <t>Zona 1 (Esc.) ↔ Zona 2 (S.Maq.)</t>
  </si>
  <si>
    <t>Z1 → Z2</t>
  </si>
  <si>
    <t>Ambas condicionadas – ΔT = 0</t>
  </si>
  <si>
    <t>PI-03</t>
  </si>
  <si>
    <t>Zona 1 (Esc.) ↔ Zona 3 (Banh.)</t>
  </si>
  <si>
    <t>Z1 → Z3 (não-cond.)</t>
  </si>
  <si>
    <t>Banheiro sem AC – Tunc ≈ Ti + ½ΔText ≈ 28°C → ΔT = 4°C</t>
  </si>
  <si>
    <t>PI-03b</t>
  </si>
  <si>
    <t>Zona 3b (2º banh.) ↔ Zona 1</t>
  </si>
  <si>
    <t>Z3b → Z1</t>
  </si>
  <si>
    <t>Segundo banheiro – mesmo critério</t>
  </si>
  <si>
    <t>PI-04</t>
  </si>
  <si>
    <t>Zona 1 (Esc.) ↔ Zona 4 (S.Reun.)</t>
  </si>
  <si>
    <t>Z1 → Z4</t>
  </si>
  <si>
    <t>PI-05</t>
  </si>
  <si>
    <t>Zona 1 (Esc.) ↔ Zona 6 (Copa)</t>
  </si>
  <si>
    <t>Z1 → Z6</t>
  </si>
  <si>
    <t>PI-06</t>
  </si>
  <si>
    <t>Zona 5 (Audit.) ↔ hall Norte</t>
  </si>
  <si>
    <t>Z5 → Hall</t>
  </si>
  <si>
    <t>Hall/corredor não condicionado – ΔT = 4°C</t>
  </si>
  <si>
    <t>PI-07</t>
  </si>
  <si>
    <t>Zona 2 (S.Maq.) ↔ Zona 3 (Banh.)</t>
  </si>
  <si>
    <t>Z2 → Z3</t>
  </si>
  <si>
    <t>Z3 não condicionado – ΔT = 4°C (incide em Z2)</t>
  </si>
  <si>
    <t>PI-08</t>
  </si>
  <si>
    <t>Zona 3 (Banh.) ↔ Zona 4 (S.Reun.)</t>
  </si>
  <si>
    <t>Z3 → Z4</t>
  </si>
  <si>
    <t>Z3 não condicionado – ΔT = 4°C (incide em Z4)</t>
  </si>
  <si>
    <t>PI-09</t>
  </si>
  <si>
    <t>Zona 4 (S.Reun.) ↔ Zona 2 (S.Maq.)</t>
  </si>
  <si>
    <t>Z4 → Z2</t>
  </si>
  <si>
    <t>PI-10</t>
  </si>
  <si>
    <t>Zona 5 (Audit.) ↔ Zona 6 (Copa)</t>
  </si>
  <si>
    <t>Z5 → Z6</t>
  </si>
  <si>
    <t>PI-11</t>
  </si>
  <si>
    <t>Zona 1C (Miolo) ↔ Zona 1N</t>
  </si>
  <si>
    <t>Z1C → Z1N</t>
  </si>
  <si>
    <t>Zonas com mesma Tset – sem carga líquida (ASHRAE)</t>
  </si>
  <si>
    <t>PI-12</t>
  </si>
  <si>
    <t>Zona 1C (Miolo) ↔ Zona 1S</t>
  </si>
  <si>
    <t>Z1C → Z1S</t>
  </si>
  <si>
    <t>Zonas com mesma Tset – sem carga líquida</t>
  </si>
  <si>
    <t>PI-13</t>
  </si>
  <si>
    <t>Zona 1C (Miolo) ↔ Zona 1O</t>
  </si>
  <si>
    <t>Z1C → Z1O</t>
  </si>
  <si>
    <t>pessoas</t>
  </si>
  <si>
    <t>T11</t>
  </si>
  <si>
    <t>AMBIENTE</t>
  </si>
  <si>
    <t>CARGA</t>
  </si>
  <si>
    <t>Ambiente</t>
  </si>
  <si>
    <t xml:space="preserve">area </t>
  </si>
  <si>
    <t>Pessoas</t>
  </si>
  <si>
    <t>Área (m²)</t>
  </si>
  <si>
    <t>Parcela Pessoas (L/s)</t>
  </si>
  <si>
    <t>Parcela Área (L/s)</t>
  </si>
  <si>
    <t>Vazão Total (L/s)</t>
  </si>
  <si>
    <t>Vazão Total (m³/h)</t>
  </si>
  <si>
    <t>35,00</t>
  </si>
  <si>
    <t>7,5</t>
  </si>
  <si>
    <t>10,5</t>
  </si>
  <si>
    <t>18,0</t>
  </si>
  <si>
    <t>64,80</t>
  </si>
  <si>
    <t>9,00</t>
  </si>
  <si>
    <t>2,7</t>
  </si>
  <si>
    <t>10,2</t>
  </si>
  <si>
    <t>36,72</t>
  </si>
  <si>
    <t>32,00</t>
  </si>
  <si>
    <t>0,0</t>
  </si>
  <si>
    <t>9,6</t>
  </si>
  <si>
    <t>34,56</t>
  </si>
  <si>
    <t>20,0</t>
  </si>
  <si>
    <t>30,5</t>
  </si>
  <si>
    <t>109,80</t>
  </si>
  <si>
    <t>12,00</t>
  </si>
  <si>
    <t>2,5</t>
  </si>
  <si>
    <t>3,6</t>
  </si>
  <si>
    <t>6,1</t>
  </si>
  <si>
    <t>21,96</t>
  </si>
  <si>
    <t>15,00</t>
  </si>
  <si>
    <t>10,0</t>
  </si>
  <si>
    <t>4,5</t>
  </si>
  <si>
    <t>14,5</t>
  </si>
  <si>
    <t>52,20</t>
  </si>
  <si>
    <t>5,0</t>
  </si>
  <si>
    <t>8,6</t>
  </si>
  <si>
    <t>30,96</t>
  </si>
  <si>
    <t>25,00</t>
  </si>
  <si>
    <t>15,0</t>
  </si>
  <si>
    <t>22,5</t>
  </si>
  <si>
    <t>81,00</t>
  </si>
  <si>
    <t>29,6</t>
  </si>
  <si>
    <t>106,56</t>
  </si>
  <si>
    <t>460,00</t>
  </si>
  <si>
    <t>60,0</t>
  </si>
  <si>
    <t>138,0</t>
  </si>
  <si>
    <t>198,0</t>
  </si>
  <si>
    <t>712,80</t>
  </si>
  <si>
    <t>676,00</t>
  </si>
  <si>
    <t>155,0</t>
  </si>
  <si>
    <t>202,8</t>
  </si>
  <si>
    <t>357,8</t>
  </si>
  <si>
    <t>1288,08</t>
  </si>
  <si>
    <t>PAREDE EXTERNA</t>
  </si>
  <si>
    <t>PAREDE INTERNA</t>
  </si>
  <si>
    <t>PESSOAS</t>
  </si>
  <si>
    <t>EQUIPAMENTO</t>
  </si>
  <si>
    <t>JANELA</t>
  </si>
  <si>
    <t>SUL</t>
  </si>
  <si>
    <t>NORTE</t>
  </si>
  <si>
    <t>LESTE</t>
  </si>
  <si>
    <t>OESTE</t>
  </si>
  <si>
    <t>T5[</t>
  </si>
  <si>
    <t>equipamento</t>
  </si>
  <si>
    <t>total</t>
  </si>
  <si>
    <t>valor w</t>
  </si>
  <si>
    <t>total W</t>
  </si>
  <si>
    <t>quantidade</t>
  </si>
  <si>
    <t>sensível w</t>
  </si>
  <si>
    <t>latente w</t>
  </si>
  <si>
    <t>total w</t>
  </si>
  <si>
    <t>ilumi W</t>
  </si>
  <si>
    <t>ILUMINAÇÃO</t>
  </si>
  <si>
    <t>hinsuflamento</t>
  </si>
  <si>
    <t>W</t>
  </si>
  <si>
    <t>w</t>
  </si>
  <si>
    <t>pv</t>
  </si>
  <si>
    <t>p</t>
  </si>
  <si>
    <t>TR</t>
  </si>
  <si>
    <t>pvs</t>
  </si>
  <si>
    <t>MAQUINA 1</t>
  </si>
  <si>
    <t>GRUPO: T1 T2 T4</t>
  </si>
  <si>
    <t>CARGA TOTAL</t>
  </si>
  <si>
    <t>Mar_insuflamento</t>
  </si>
  <si>
    <t>total serpentina</t>
  </si>
  <si>
    <t>Mexterna</t>
  </si>
  <si>
    <t>PR</t>
  </si>
  <si>
    <t>Mretorno</t>
  </si>
  <si>
    <t>]h.externo</t>
  </si>
  <si>
    <t>h.retorno</t>
  </si>
  <si>
    <t>PESSOAS=</t>
  </si>
  <si>
    <t>volume ext</t>
  </si>
  <si>
    <t>m³\h</t>
  </si>
  <si>
    <t>kg\h</t>
  </si>
  <si>
    <t>W_mistura</t>
  </si>
  <si>
    <t>Tmistura</t>
  </si>
  <si>
    <t>h_mistura</t>
  </si>
  <si>
    <t>kg/h</t>
  </si>
  <si>
    <t>c</t>
  </si>
  <si>
    <t>KJ/KG</t>
  </si>
  <si>
    <t>MAQUINA 2</t>
  </si>
  <si>
    <t>GRUPO: T6 T9 T10 T11</t>
  </si>
  <si>
    <t>Ar externo</t>
  </si>
  <si>
    <t>retorno</t>
  </si>
  <si>
    <t>insufla</t>
  </si>
  <si>
    <t>m³/h</t>
  </si>
  <si>
    <t>qnt</t>
  </si>
  <si>
    <t>tamnho</t>
  </si>
  <si>
    <t>tamanho</t>
  </si>
  <si>
    <t>QNT</t>
  </si>
  <si>
    <t>DIFUSORES DE INSUFLAÇAO</t>
  </si>
  <si>
    <t>Tamanho</t>
  </si>
  <si>
    <t>m³/S</t>
  </si>
  <si>
    <t>GRELHAS DE RETORNO</t>
  </si>
  <si>
    <t>m²</t>
  </si>
  <si>
    <t>550 x 152</t>
  </si>
  <si>
    <t>650 x 192</t>
  </si>
  <si>
    <r>
      <t>600 x 192</t>
    </r>
    <r>
      <rPr>
        <sz val="11"/>
        <color theme="1"/>
        <rFont val="Calibri"/>
        <family val="2"/>
        <scheme val="minor"/>
      </rPr>
      <t xml:space="preserve"> </t>
    </r>
  </si>
  <si>
    <t>600 x 152</t>
  </si>
  <si>
    <t>650 x 252</t>
  </si>
  <si>
    <t>m/s</t>
  </si>
  <si>
    <t>area livre</t>
  </si>
  <si>
    <t>velocidade</t>
  </si>
  <si>
    <t>m³/s</t>
  </si>
  <si>
    <t>por grelha</t>
  </si>
  <si>
    <t>didi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</si>
</sst>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rgb="FFFFFFFF"/>
      <name val="Arial"/>
      <charset val="1"/>
    </font>
    <font>
      <i/>
      <sz val="9"/>
      <color rgb="FF1F3864"/>
      <name val="Arial"/>
      <charset val="1"/>
    </font>
    <font>
      <b/>
      <sz val="9"/>
      <color rgb="FFFFFFFF"/>
      <name val="Arial"/>
      <charset val="1"/>
    </font>
    <font>
      <b/>
      <sz val="10"/>
      <color rgb="FF1F3864"/>
      <name val="Arial"/>
      <charset val="1"/>
    </font>
    <font>
      <sz val="9"/>
      <name val="Arial"/>
      <charset val="1"/>
    </font>
    <font>
      <sz val="9"/>
      <color rgb="FF00008B"/>
      <name val="Arial"/>
      <charset val="1"/>
    </font>
    <font>
      <b/>
      <sz val="9"/>
      <name val="Arial"/>
      <charset val="1"/>
    </font>
    <font>
      <i/>
      <sz val="9"/>
      <color rgb="FF7F000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1F6B2E"/>
        <bgColor rgb="FF008080"/>
      </patternFill>
    </fill>
    <fill>
      <patternFill patternType="solid">
        <fgColor rgb="FF8B4513"/>
        <bgColor rgb="FF993366"/>
      </patternFill>
    </fill>
    <fill>
      <patternFill patternType="solid">
        <fgColor rgb="FFBDD7EE"/>
        <bgColor rgb="FFC6EFCE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1" xfId="0" applyBorder="1"/>
    <xf numFmtId="0" fontId="0" fillId="0" borderId="6" xfId="0" applyBorder="1"/>
    <xf numFmtId="0" fontId="0" fillId="2" borderId="7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21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4" xfId="0" applyBorder="1" applyAlignment="1">
      <alignment vertical="top"/>
    </xf>
    <xf numFmtId="0" fontId="0" fillId="0" borderId="15" xfId="0" applyBorder="1" applyAlignment="1">
      <alignment vertical="top"/>
    </xf>
    <xf numFmtId="0" fontId="0" fillId="3" borderId="16" xfId="0" applyFill="1" applyBorder="1" applyAlignment="1">
      <alignment vertical="top"/>
    </xf>
    <xf numFmtId="0" fontId="0" fillId="3" borderId="17" xfId="0" applyFill="1" applyBorder="1" applyAlignment="1">
      <alignment vertical="top"/>
    </xf>
    <xf numFmtId="0" fontId="0" fillId="3" borderId="18" xfId="0" applyFill="1" applyBorder="1" applyAlignment="1">
      <alignment vertical="top"/>
    </xf>
    <xf numFmtId="2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14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3" xfId="0" applyBorder="1"/>
    <xf numFmtId="0" fontId="0" fillId="0" borderId="16" xfId="0" applyBorder="1"/>
    <xf numFmtId="0" fontId="0" fillId="0" borderId="12" xfId="0" applyBorder="1"/>
    <xf numFmtId="0" fontId="0" fillId="0" borderId="17" xfId="0" applyBorder="1"/>
    <xf numFmtId="0" fontId="4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indent="1"/>
    </xf>
    <xf numFmtId="2" fontId="7" fillId="9" borderId="1" xfId="0" applyNumberFormat="1" applyFont="1" applyFill="1" applyBorder="1" applyAlignment="1">
      <alignment horizontal="center" vertical="center"/>
    </xf>
    <xf numFmtId="1" fontId="7" fillId="9" borderId="1" xfId="0" applyNumberFormat="1" applyFont="1" applyFill="1" applyBorder="1" applyAlignment="1">
      <alignment horizontal="center" vertical="center"/>
    </xf>
    <xf numFmtId="2" fontId="6" fillId="9" borderId="1" xfId="0" applyNumberFormat="1" applyFont="1" applyFill="1" applyBorder="1" applyAlignment="1">
      <alignment horizontal="center" vertical="center"/>
    </xf>
    <xf numFmtId="2" fontId="8" fillId="10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indent="1"/>
    </xf>
    <xf numFmtId="2" fontId="7" fillId="7" borderId="1" xfId="0" applyNumberFormat="1" applyFont="1" applyFill="1" applyBorder="1" applyAlignment="1">
      <alignment horizontal="center" vertical="center"/>
    </xf>
    <xf numFmtId="1" fontId="7" fillId="7" borderId="1" xfId="0" applyNumberFormat="1" applyFont="1" applyFill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 wrapText="1" indent="1"/>
    </xf>
    <xf numFmtId="2" fontId="11" fillId="10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 indent="1"/>
    </xf>
    <xf numFmtId="2" fontId="0" fillId="0" borderId="0" xfId="0" applyNumberFormat="1"/>
    <xf numFmtId="0" fontId="0" fillId="0" borderId="30" xfId="0" applyBorder="1"/>
    <xf numFmtId="0" fontId="0" fillId="0" borderId="31" xfId="0" applyBorder="1"/>
    <xf numFmtId="0" fontId="0" fillId="0" borderId="2" xfId="0" applyBorder="1"/>
    <xf numFmtId="0" fontId="13" fillId="0" borderId="32" xfId="0" applyFont="1" applyBorder="1" applyAlignment="1">
      <alignment horizontal="left" vertical="center" wrapText="1" indent="1" readingOrder="1"/>
    </xf>
    <xf numFmtId="0" fontId="13" fillId="0" borderId="32" xfId="0" applyFont="1" applyBorder="1" applyAlignment="1">
      <alignment vertical="center" wrapText="1" readingOrder="1"/>
    </xf>
    <xf numFmtId="0" fontId="12" fillId="0" borderId="32" xfId="0" applyFont="1" applyBorder="1" applyAlignment="1">
      <alignment horizontal="left" vertical="center" wrapText="1" indent="1" readingOrder="1"/>
    </xf>
    <xf numFmtId="0" fontId="12" fillId="0" borderId="32" xfId="0" applyFont="1" applyBorder="1" applyAlignment="1">
      <alignment vertical="center" wrapText="1" readingOrder="1"/>
    </xf>
    <xf numFmtId="0" fontId="0" fillId="0" borderId="0" xfId="0" applyAlignment="1">
      <alignment horizontal="center"/>
    </xf>
    <xf numFmtId="0" fontId="0" fillId="2" borderId="1" xfId="0" applyFill="1" applyBorder="1"/>
    <xf numFmtId="2" fontId="0" fillId="0" borderId="1" xfId="0" applyNumberFormat="1" applyBorder="1"/>
    <xf numFmtId="0" fontId="0" fillId="17" borderId="1" xfId="0" applyFill="1" applyBorder="1"/>
    <xf numFmtId="2" fontId="0" fillId="2" borderId="6" xfId="0" applyNumberFormat="1" applyFill="1" applyBorder="1"/>
    <xf numFmtId="0" fontId="0" fillId="2" borderId="0" xfId="0" applyFill="1"/>
    <xf numFmtId="0" fontId="0" fillId="2" borderId="6" xfId="0" applyFill="1" applyBorder="1"/>
    <xf numFmtId="0" fontId="0" fillId="18" borderId="1" xfId="0" applyFill="1" applyBorder="1"/>
    <xf numFmtId="0" fontId="0" fillId="19" borderId="11" xfId="0" applyFill="1" applyBorder="1"/>
    <xf numFmtId="0" fontId="0" fillId="19" borderId="12" xfId="0" applyFill="1" applyBorder="1"/>
    <xf numFmtId="0" fontId="0" fillId="19" borderId="13" xfId="0" applyFill="1" applyBorder="1"/>
    <xf numFmtId="0" fontId="0" fillId="19" borderId="14" xfId="0" applyFill="1" applyBorder="1"/>
    <xf numFmtId="0" fontId="0" fillId="19" borderId="1" xfId="0" applyFill="1" applyBorder="1"/>
    <xf numFmtId="0" fontId="0" fillId="19" borderId="15" xfId="0" applyFill="1" applyBorder="1"/>
    <xf numFmtId="0" fontId="0" fillId="19" borderId="18" xfId="0" applyFill="1" applyBorder="1"/>
    <xf numFmtId="0" fontId="14" fillId="20" borderId="11" xfId="0" applyFont="1" applyFill="1" applyBorder="1"/>
    <xf numFmtId="0" fontId="14" fillId="20" borderId="4" xfId="0" applyFont="1" applyFill="1" applyBorder="1"/>
    <xf numFmtId="0" fontId="14" fillId="20" borderId="12" xfId="0" applyFont="1" applyFill="1" applyBorder="1"/>
    <xf numFmtId="0" fontId="14" fillId="20" borderId="13" xfId="0" applyFont="1" applyFill="1" applyBorder="1"/>
    <xf numFmtId="0" fontId="14" fillId="20" borderId="14" xfId="0" applyFont="1" applyFill="1" applyBorder="1"/>
    <xf numFmtId="0" fontId="14" fillId="20" borderId="1" xfId="0" applyFont="1" applyFill="1" applyBorder="1"/>
    <xf numFmtId="0" fontId="14" fillId="20" borderId="15" xfId="0" applyFont="1" applyFill="1" applyBorder="1"/>
    <xf numFmtId="0" fontId="0" fillId="19" borderId="0" xfId="0" applyFill="1"/>
    <xf numFmtId="0" fontId="0" fillId="18" borderId="4" xfId="0" applyFill="1" applyBorder="1" applyAlignment="1">
      <alignment horizontal="center"/>
    </xf>
    <xf numFmtId="0" fontId="0" fillId="21" borderId="1" xfId="0" applyFill="1" applyBorder="1"/>
    <xf numFmtId="0" fontId="14" fillId="20" borderId="35" xfId="0" applyFont="1" applyFill="1" applyBorder="1" applyAlignment="1">
      <alignment horizontal="center"/>
    </xf>
    <xf numFmtId="0" fontId="14" fillId="20" borderId="36" xfId="0" applyFont="1" applyFill="1" applyBorder="1" applyAlignment="1">
      <alignment horizontal="center"/>
    </xf>
    <xf numFmtId="0" fontId="14" fillId="20" borderId="37" xfId="0" applyFont="1" applyFill="1" applyBorder="1" applyAlignment="1">
      <alignment horizontal="center"/>
    </xf>
    <xf numFmtId="0" fontId="0" fillId="19" borderId="16" xfId="0" applyFill="1" applyBorder="1" applyAlignment="1">
      <alignment horizontal="center"/>
    </xf>
    <xf numFmtId="0" fontId="0" fillId="19" borderId="17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17" borderId="3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8" borderId="3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4" borderId="12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4" borderId="13" xfId="0" applyFill="1" applyBorder="1" applyAlignment="1">
      <alignment horizontal="center" vertical="top"/>
    </xf>
    <xf numFmtId="0" fontId="0" fillId="4" borderId="15" xfId="0" applyFill="1" applyBorder="1" applyAlignment="1">
      <alignment horizontal="center" vertical="top"/>
    </xf>
    <xf numFmtId="0" fontId="0" fillId="4" borderId="11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5" fillId="13" borderId="29" xfId="0" applyFont="1" applyFill="1" applyBorder="1" applyAlignment="1">
      <alignment horizontal="left" vertical="center" indent="1"/>
    </xf>
    <xf numFmtId="0" fontId="5" fillId="14" borderId="29" xfId="0" applyFont="1" applyFill="1" applyBorder="1" applyAlignment="1">
      <alignment horizontal="left" vertical="center" indent="1"/>
    </xf>
    <xf numFmtId="0" fontId="5" fillId="15" borderId="29" xfId="0" applyFont="1" applyFill="1" applyBorder="1" applyAlignment="1">
      <alignment horizontal="left" vertical="center" indent="1"/>
    </xf>
    <xf numFmtId="0" fontId="5" fillId="16" borderId="29" xfId="0" applyFont="1" applyFill="1" applyBorder="1" applyAlignment="1">
      <alignment horizontal="left" vertical="center" indent="1"/>
    </xf>
    <xf numFmtId="0" fontId="2" fillId="6" borderId="29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0" fontId="4" fillId="12" borderId="19" xfId="0" applyFont="1" applyFill="1" applyBorder="1" applyAlignment="1">
      <alignment horizontal="center" vertical="center"/>
    </xf>
    <xf numFmtId="0" fontId="9" fillId="16" borderId="19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Planilha1!$Z$43:$Z$44</c:f>
              <c:strCache>
                <c:ptCount val="2"/>
                <c:pt idx="0">
                  <c:v>SUL</c:v>
                </c:pt>
                <c:pt idx="1">
                  <c:v>carga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Planilha1!$Y$45:$Y$55</c:f>
              <c:numCache>
                <c:formatCode>General</c:formatCod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numCache>
            </c:numRef>
          </c:cat>
          <c:val>
            <c:numRef>
              <c:f>Planilha1!$Z$45:$Z$55</c:f>
              <c:numCache>
                <c:formatCode>General</c:formatCode>
                <c:ptCount val="11"/>
                <c:pt idx="0">
                  <c:v>147.22280000000015</c:v>
                </c:pt>
                <c:pt idx="1">
                  <c:v>147.2328000000002</c:v>
                </c:pt>
                <c:pt idx="2">
                  <c:v>147.2328000000002</c:v>
                </c:pt>
                <c:pt idx="3">
                  <c:v>147.2328000000002</c:v>
                </c:pt>
                <c:pt idx="4">
                  <c:v>147.2328000000002</c:v>
                </c:pt>
                <c:pt idx="5">
                  <c:v>214.15680000000023</c:v>
                </c:pt>
                <c:pt idx="6">
                  <c:v>214.15680000000023</c:v>
                </c:pt>
                <c:pt idx="7">
                  <c:v>281.08080000000024</c:v>
                </c:pt>
                <c:pt idx="8">
                  <c:v>281.08080000000024</c:v>
                </c:pt>
                <c:pt idx="9">
                  <c:v>348.00480000000027</c:v>
                </c:pt>
                <c:pt idx="10">
                  <c:v>414.92880000000025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D-4346-A56E-CCA50D075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76595296"/>
        <c:axId val="976595656"/>
      </c:barChart>
      <c:catAx>
        <c:axId val="97659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6595656"/>
        <c:crosses val="autoZero"/>
        <c:auto val="1"/>
        <c:lblAlgn val="ctr"/>
        <c:lblOffset val="100"/>
        <c:noMultiLvlLbl val="0"/>
      </c:catAx>
      <c:valAx>
        <c:axId val="976595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659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OESTE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Planilha1!$Z$57:$Z$58</c:f>
              <c:strCache>
                <c:ptCount val="2"/>
                <c:pt idx="0">
                  <c:v>OESTE</c:v>
                </c:pt>
                <c:pt idx="1">
                  <c:v>carga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Planilha1!$Y$59:$Y$69</c:f>
              <c:numCache>
                <c:formatCode>General</c:formatCod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numCache>
            </c:numRef>
          </c:cat>
          <c:val>
            <c:numRef>
              <c:f>Planilha1!$Z$59:$Z$69</c:f>
              <c:numCache>
                <c:formatCode>General</c:formatCode>
                <c:ptCount val="11"/>
                <c:pt idx="0">
                  <c:v>323.66880000000026</c:v>
                </c:pt>
                <c:pt idx="1">
                  <c:v>385.91280000000023</c:v>
                </c:pt>
                <c:pt idx="2">
                  <c:v>448.1568000000002</c:v>
                </c:pt>
                <c:pt idx="3">
                  <c:v>572.64480000000026</c:v>
                </c:pt>
                <c:pt idx="4">
                  <c:v>697.13280000000032</c:v>
                </c:pt>
                <c:pt idx="5">
                  <c:v>759.37680000000023</c:v>
                </c:pt>
                <c:pt idx="6">
                  <c:v>821.62080000000037</c:v>
                </c:pt>
                <c:pt idx="7">
                  <c:v>883.86480000000029</c:v>
                </c:pt>
                <c:pt idx="8">
                  <c:v>883.86480000000029</c:v>
                </c:pt>
                <c:pt idx="9">
                  <c:v>946.10880000000031</c:v>
                </c:pt>
                <c:pt idx="10">
                  <c:v>946.10880000000031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A-4E37-9FF6-F035AB8C8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76577296"/>
        <c:axId val="976582696"/>
      </c:barChart>
      <c:catAx>
        <c:axId val="97657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6582696"/>
        <c:crosses val="autoZero"/>
        <c:auto val="1"/>
        <c:lblAlgn val="ctr"/>
        <c:lblOffset val="100"/>
        <c:noMultiLvlLbl val="0"/>
      </c:catAx>
      <c:valAx>
        <c:axId val="976582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657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LESTE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Planilha1!$Z$71:$Z$72</c:f>
              <c:strCache>
                <c:ptCount val="2"/>
                <c:pt idx="0">
                  <c:v>LESTE</c:v>
                </c:pt>
                <c:pt idx="1">
                  <c:v>carga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Planilha1!$Y$73:$Y$83</c:f>
              <c:numCache>
                <c:formatCode>General</c:formatCod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numCache>
            </c:numRef>
          </c:cat>
          <c:val>
            <c:numRef>
              <c:f>Planilha1!$Z$73:$Z$83</c:f>
              <c:numCache>
                <c:formatCode>General</c:formatCode>
                <c:ptCount val="11"/>
                <c:pt idx="0">
                  <c:v>566.09280000000035</c:v>
                </c:pt>
                <c:pt idx="1">
                  <c:v>487.46880000000027</c:v>
                </c:pt>
                <c:pt idx="2">
                  <c:v>408.8448000000003</c:v>
                </c:pt>
                <c:pt idx="3">
                  <c:v>408.8448000000003</c:v>
                </c:pt>
                <c:pt idx="4">
                  <c:v>408.8448000000003</c:v>
                </c:pt>
                <c:pt idx="5">
                  <c:v>408.8448000000003</c:v>
                </c:pt>
                <c:pt idx="6">
                  <c:v>408.8448000000003</c:v>
                </c:pt>
                <c:pt idx="7">
                  <c:v>487.46880000000027</c:v>
                </c:pt>
                <c:pt idx="8">
                  <c:v>566.09280000000035</c:v>
                </c:pt>
                <c:pt idx="9">
                  <c:v>723.3408000000004</c:v>
                </c:pt>
                <c:pt idx="10">
                  <c:v>880.58880000000045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F-4181-9A58-414482F00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76578016"/>
        <c:axId val="976580176"/>
      </c:barChart>
      <c:catAx>
        <c:axId val="97657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6580176"/>
        <c:crosses val="autoZero"/>
        <c:auto val="1"/>
        <c:lblAlgn val="ctr"/>
        <c:lblOffset val="100"/>
        <c:noMultiLvlLbl val="0"/>
      </c:catAx>
      <c:valAx>
        <c:axId val="97658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657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Planilha1!$Z$85:$Z$86</c:f>
              <c:strCache>
                <c:ptCount val="2"/>
                <c:pt idx="0">
                  <c:v>NORTE</c:v>
                </c:pt>
                <c:pt idx="1">
                  <c:v>carga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Planilha1!$Y$87:$Y$97</c:f>
              <c:numCache>
                <c:formatCode>General</c:formatCod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numCache>
            </c:numRef>
          </c:cat>
          <c:val>
            <c:numRef>
              <c:f>Planilha1!$Z$87:$Z$97</c:f>
              <c:numCache>
                <c:formatCode>General</c:formatCode>
                <c:ptCount val="11"/>
                <c:pt idx="0">
                  <c:v>228.00960000000021</c:v>
                </c:pt>
                <c:pt idx="1">
                  <c:v>173.72160000000019</c:v>
                </c:pt>
                <c:pt idx="2">
                  <c:v>173.72160000000019</c:v>
                </c:pt>
                <c:pt idx="3">
                  <c:v>173.72160000000019</c:v>
                </c:pt>
                <c:pt idx="4">
                  <c:v>173.72160000000019</c:v>
                </c:pt>
                <c:pt idx="5">
                  <c:v>228.00960000000021</c:v>
                </c:pt>
                <c:pt idx="6">
                  <c:v>336.58560000000023</c:v>
                </c:pt>
                <c:pt idx="7">
                  <c:v>390.87360000000024</c:v>
                </c:pt>
                <c:pt idx="8">
                  <c:v>499.44960000000026</c:v>
                </c:pt>
                <c:pt idx="9">
                  <c:v>553.73760000000016</c:v>
                </c:pt>
                <c:pt idx="10">
                  <c:v>608.02560000000028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2-4E96-8AF3-4CB5AC1A6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80931384"/>
        <c:axId val="980929944"/>
      </c:barChart>
      <c:catAx>
        <c:axId val="980931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0929944"/>
        <c:crosses val="autoZero"/>
        <c:auto val="1"/>
        <c:lblAlgn val="ctr"/>
        <c:lblOffset val="100"/>
        <c:noMultiLvlLbl val="0"/>
      </c:catAx>
      <c:valAx>
        <c:axId val="98092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0931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Planilha1!$Z$44</c:f>
              <c:strCache>
                <c:ptCount val="1"/>
                <c:pt idx="0">
                  <c:v>carga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(Planilha1!$X$45:$Y$55,Planilha1!$X$58:$Y$69,Planilha1!$X$72:$Y$83,Planilha1!$X$86:$Y$97)</c:f>
              <c:multiLvlStrCache>
                <c:ptCount val="47"/>
                <c:lvl>
                  <c:pt idx="0">
                    <c:v>8</c:v>
                  </c:pt>
                  <c:pt idx="1">
                    <c:v>9</c:v>
                  </c:pt>
                  <c:pt idx="2">
                    <c:v>10</c:v>
                  </c:pt>
                  <c:pt idx="3">
                    <c:v>11</c:v>
                  </c:pt>
                  <c:pt idx="4">
                    <c:v>12</c:v>
                  </c:pt>
                  <c:pt idx="5">
                    <c:v>13</c:v>
                  </c:pt>
                  <c:pt idx="6">
                    <c:v>14</c:v>
                  </c:pt>
                  <c:pt idx="7">
                    <c:v>15</c:v>
                  </c:pt>
                  <c:pt idx="8">
                    <c:v>16</c:v>
                  </c:pt>
                  <c:pt idx="9">
                    <c:v>17</c:v>
                  </c:pt>
                  <c:pt idx="10">
                    <c:v>18</c:v>
                  </c:pt>
                  <c:pt idx="11">
                    <c:v>hora</c:v>
                  </c:pt>
                  <c:pt idx="12">
                    <c:v>8</c:v>
                  </c:pt>
                  <c:pt idx="13">
                    <c:v>9</c:v>
                  </c:pt>
                  <c:pt idx="14">
                    <c:v>10</c:v>
                  </c:pt>
                  <c:pt idx="15">
                    <c:v>11</c:v>
                  </c:pt>
                  <c:pt idx="16">
                    <c:v>12</c:v>
                  </c:pt>
                  <c:pt idx="17">
                    <c:v>13</c:v>
                  </c:pt>
                  <c:pt idx="18">
                    <c:v>14</c:v>
                  </c:pt>
                  <c:pt idx="19">
                    <c:v>15</c:v>
                  </c:pt>
                  <c:pt idx="20">
                    <c:v>16</c:v>
                  </c:pt>
                  <c:pt idx="21">
                    <c:v>17</c:v>
                  </c:pt>
                  <c:pt idx="22">
                    <c:v>18</c:v>
                  </c:pt>
                  <c:pt idx="23">
                    <c:v>hora</c:v>
                  </c:pt>
                  <c:pt idx="24">
                    <c:v>8</c:v>
                  </c:pt>
                  <c:pt idx="25">
                    <c:v>9</c:v>
                  </c:pt>
                  <c:pt idx="26">
                    <c:v>10</c:v>
                  </c:pt>
                  <c:pt idx="27">
                    <c:v>11</c:v>
                  </c:pt>
                  <c:pt idx="28">
                    <c:v>12</c:v>
                  </c:pt>
                  <c:pt idx="29">
                    <c:v>13</c:v>
                  </c:pt>
                  <c:pt idx="30">
                    <c:v>14</c:v>
                  </c:pt>
                  <c:pt idx="31">
                    <c:v>15</c:v>
                  </c:pt>
                  <c:pt idx="32">
                    <c:v>16</c:v>
                  </c:pt>
                  <c:pt idx="33">
                    <c:v>17</c:v>
                  </c:pt>
                  <c:pt idx="34">
                    <c:v>18</c:v>
                  </c:pt>
                  <c:pt idx="35">
                    <c:v>hora</c:v>
                  </c:pt>
                  <c:pt idx="36">
                    <c:v>8</c:v>
                  </c:pt>
                  <c:pt idx="37">
                    <c:v>9</c:v>
                  </c:pt>
                  <c:pt idx="38">
                    <c:v>10</c:v>
                  </c:pt>
                  <c:pt idx="39">
                    <c:v>11</c:v>
                  </c:pt>
                  <c:pt idx="40">
                    <c:v>12</c:v>
                  </c:pt>
                  <c:pt idx="41">
                    <c:v>13</c:v>
                  </c:pt>
                  <c:pt idx="42">
                    <c:v>14</c:v>
                  </c:pt>
                  <c:pt idx="43">
                    <c:v>15</c:v>
                  </c:pt>
                  <c:pt idx="44">
                    <c:v>16</c:v>
                  </c:pt>
                  <c:pt idx="45">
                    <c:v>17</c:v>
                  </c:pt>
                  <c:pt idx="46">
                    <c:v>18</c:v>
                  </c:pt>
                </c:lvl>
                <c:lvl>
                  <c:pt idx="0">
                    <c:v>SUL</c:v>
                  </c:pt>
                  <c:pt idx="11">
                    <c:v>OESTE</c:v>
                  </c:pt>
                  <c:pt idx="23">
                    <c:v>LESTE</c:v>
                  </c:pt>
                  <c:pt idx="35">
                    <c:v>NORTE</c:v>
                  </c:pt>
                </c:lvl>
              </c:multiLvlStrCache>
            </c:multiLvlStrRef>
          </c:cat>
          <c:val>
            <c:numRef>
              <c:f>(Planilha1!$Z$45:$Z$55,Planilha1!$Z$58:$Z$69,Planilha1!$Z$72:$Z$83,Planilha1!$Z$86:$Z$97)</c:f>
              <c:numCache>
                <c:formatCode>General</c:formatCode>
                <c:ptCount val="47"/>
                <c:pt idx="0">
                  <c:v>147.22280000000015</c:v>
                </c:pt>
                <c:pt idx="1">
                  <c:v>147.2328000000002</c:v>
                </c:pt>
                <c:pt idx="2">
                  <c:v>147.2328000000002</c:v>
                </c:pt>
                <c:pt idx="3">
                  <c:v>147.2328000000002</c:v>
                </c:pt>
                <c:pt idx="4">
                  <c:v>147.2328000000002</c:v>
                </c:pt>
                <c:pt idx="5">
                  <c:v>214.15680000000023</c:v>
                </c:pt>
                <c:pt idx="6">
                  <c:v>214.15680000000023</c:v>
                </c:pt>
                <c:pt idx="7">
                  <c:v>281.08080000000024</c:v>
                </c:pt>
                <c:pt idx="8">
                  <c:v>281.08080000000024</c:v>
                </c:pt>
                <c:pt idx="9">
                  <c:v>348.00480000000027</c:v>
                </c:pt>
                <c:pt idx="10">
                  <c:v>414.92880000000025</c:v>
                </c:pt>
                <c:pt idx="11">
                  <c:v>0</c:v>
                </c:pt>
                <c:pt idx="12">
                  <c:v>323.66880000000026</c:v>
                </c:pt>
                <c:pt idx="13">
                  <c:v>385.91280000000023</c:v>
                </c:pt>
                <c:pt idx="14">
                  <c:v>448.1568000000002</c:v>
                </c:pt>
                <c:pt idx="15">
                  <c:v>572.64480000000026</c:v>
                </c:pt>
                <c:pt idx="16">
                  <c:v>697.13280000000032</c:v>
                </c:pt>
                <c:pt idx="17">
                  <c:v>759.37680000000023</c:v>
                </c:pt>
                <c:pt idx="18">
                  <c:v>821.62080000000037</c:v>
                </c:pt>
                <c:pt idx="19">
                  <c:v>883.86480000000029</c:v>
                </c:pt>
                <c:pt idx="20">
                  <c:v>883.86480000000029</c:v>
                </c:pt>
                <c:pt idx="21">
                  <c:v>946.10880000000031</c:v>
                </c:pt>
                <c:pt idx="22">
                  <c:v>946.10880000000031</c:v>
                </c:pt>
                <c:pt idx="23">
                  <c:v>0</c:v>
                </c:pt>
                <c:pt idx="24">
                  <c:v>566.09280000000035</c:v>
                </c:pt>
                <c:pt idx="25">
                  <c:v>487.46880000000027</c:v>
                </c:pt>
                <c:pt idx="26">
                  <c:v>408.8448000000003</c:v>
                </c:pt>
                <c:pt idx="27">
                  <c:v>408.8448000000003</c:v>
                </c:pt>
                <c:pt idx="28">
                  <c:v>408.8448000000003</c:v>
                </c:pt>
                <c:pt idx="29">
                  <c:v>408.8448000000003</c:v>
                </c:pt>
                <c:pt idx="30">
                  <c:v>408.8448000000003</c:v>
                </c:pt>
                <c:pt idx="31">
                  <c:v>487.46880000000027</c:v>
                </c:pt>
                <c:pt idx="32">
                  <c:v>566.09280000000035</c:v>
                </c:pt>
                <c:pt idx="33">
                  <c:v>723.3408000000004</c:v>
                </c:pt>
                <c:pt idx="34">
                  <c:v>880.58880000000045</c:v>
                </c:pt>
                <c:pt idx="35">
                  <c:v>0</c:v>
                </c:pt>
                <c:pt idx="36">
                  <c:v>228.00960000000021</c:v>
                </c:pt>
                <c:pt idx="37">
                  <c:v>173.72160000000019</c:v>
                </c:pt>
                <c:pt idx="38">
                  <c:v>173.72160000000019</c:v>
                </c:pt>
                <c:pt idx="39">
                  <c:v>173.72160000000019</c:v>
                </c:pt>
                <c:pt idx="40">
                  <c:v>173.72160000000019</c:v>
                </c:pt>
                <c:pt idx="41">
                  <c:v>228.00960000000021</c:v>
                </c:pt>
                <c:pt idx="42">
                  <c:v>336.58560000000023</c:v>
                </c:pt>
                <c:pt idx="43">
                  <c:v>390.87360000000024</c:v>
                </c:pt>
                <c:pt idx="44">
                  <c:v>499.44960000000026</c:v>
                </c:pt>
                <c:pt idx="45">
                  <c:v>553.73760000000016</c:v>
                </c:pt>
                <c:pt idx="46">
                  <c:v>608.02560000000028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8-4846-89B3-44321A6FE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924544"/>
        <c:axId val="980919504"/>
      </c:areaChart>
      <c:catAx>
        <c:axId val="980924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0919504"/>
        <c:crosses val="autoZero"/>
        <c:auto val="1"/>
        <c:lblAlgn val="ctr"/>
        <c:lblOffset val="100"/>
        <c:noMultiLvlLbl val="0"/>
      </c:catAx>
      <c:valAx>
        <c:axId val="98091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092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Carga</a:t>
            </a:r>
            <a:r>
              <a:rPr lang="en-US" baseline="0"/>
              <a:t> térmica de paredes externas.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Planilha1!$Z$44</c:f>
              <c:strCache>
                <c:ptCount val="1"/>
                <c:pt idx="0">
                  <c:v>carga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multiLvlStrRef>
              <c:f>(Planilha1!$X$45:$Y$55,Planilha1!$X$58:$Y$69,Planilha1!$X$72:$Y$83,Planilha1!$X$86:$Y$97)</c:f>
              <c:multiLvlStrCache>
                <c:ptCount val="47"/>
                <c:lvl>
                  <c:pt idx="0">
                    <c:v>8</c:v>
                  </c:pt>
                  <c:pt idx="1">
                    <c:v>9</c:v>
                  </c:pt>
                  <c:pt idx="2">
                    <c:v>10</c:v>
                  </c:pt>
                  <c:pt idx="3">
                    <c:v>11</c:v>
                  </c:pt>
                  <c:pt idx="4">
                    <c:v>12</c:v>
                  </c:pt>
                  <c:pt idx="5">
                    <c:v>13</c:v>
                  </c:pt>
                  <c:pt idx="6">
                    <c:v>14</c:v>
                  </c:pt>
                  <c:pt idx="7">
                    <c:v>15</c:v>
                  </c:pt>
                  <c:pt idx="8">
                    <c:v>16</c:v>
                  </c:pt>
                  <c:pt idx="9">
                    <c:v>17</c:v>
                  </c:pt>
                  <c:pt idx="10">
                    <c:v>18</c:v>
                  </c:pt>
                  <c:pt idx="11">
                    <c:v>hora</c:v>
                  </c:pt>
                  <c:pt idx="12">
                    <c:v>8</c:v>
                  </c:pt>
                  <c:pt idx="13">
                    <c:v>9</c:v>
                  </c:pt>
                  <c:pt idx="14">
                    <c:v>10</c:v>
                  </c:pt>
                  <c:pt idx="15">
                    <c:v>11</c:v>
                  </c:pt>
                  <c:pt idx="16">
                    <c:v>12</c:v>
                  </c:pt>
                  <c:pt idx="17">
                    <c:v>13</c:v>
                  </c:pt>
                  <c:pt idx="18">
                    <c:v>14</c:v>
                  </c:pt>
                  <c:pt idx="19">
                    <c:v>15</c:v>
                  </c:pt>
                  <c:pt idx="20">
                    <c:v>16</c:v>
                  </c:pt>
                  <c:pt idx="21">
                    <c:v>17</c:v>
                  </c:pt>
                  <c:pt idx="22">
                    <c:v>18</c:v>
                  </c:pt>
                  <c:pt idx="23">
                    <c:v>hora</c:v>
                  </c:pt>
                  <c:pt idx="24">
                    <c:v>8</c:v>
                  </c:pt>
                  <c:pt idx="25">
                    <c:v>9</c:v>
                  </c:pt>
                  <c:pt idx="26">
                    <c:v>10</c:v>
                  </c:pt>
                  <c:pt idx="27">
                    <c:v>11</c:v>
                  </c:pt>
                  <c:pt idx="28">
                    <c:v>12</c:v>
                  </c:pt>
                  <c:pt idx="29">
                    <c:v>13</c:v>
                  </c:pt>
                  <c:pt idx="30">
                    <c:v>14</c:v>
                  </c:pt>
                  <c:pt idx="31">
                    <c:v>15</c:v>
                  </c:pt>
                  <c:pt idx="32">
                    <c:v>16</c:v>
                  </c:pt>
                  <c:pt idx="33">
                    <c:v>17</c:v>
                  </c:pt>
                  <c:pt idx="34">
                    <c:v>18</c:v>
                  </c:pt>
                  <c:pt idx="35">
                    <c:v>hora</c:v>
                  </c:pt>
                  <c:pt idx="36">
                    <c:v>8</c:v>
                  </c:pt>
                  <c:pt idx="37">
                    <c:v>9</c:v>
                  </c:pt>
                  <c:pt idx="38">
                    <c:v>10</c:v>
                  </c:pt>
                  <c:pt idx="39">
                    <c:v>11</c:v>
                  </c:pt>
                  <c:pt idx="40">
                    <c:v>12</c:v>
                  </c:pt>
                  <c:pt idx="41">
                    <c:v>13</c:v>
                  </c:pt>
                  <c:pt idx="42">
                    <c:v>14</c:v>
                  </c:pt>
                  <c:pt idx="43">
                    <c:v>15</c:v>
                  </c:pt>
                  <c:pt idx="44">
                    <c:v>16</c:v>
                  </c:pt>
                  <c:pt idx="45">
                    <c:v>17</c:v>
                  </c:pt>
                  <c:pt idx="46">
                    <c:v>18</c:v>
                  </c:pt>
                </c:lvl>
                <c:lvl>
                  <c:pt idx="0">
                    <c:v>SUL</c:v>
                  </c:pt>
                  <c:pt idx="11">
                    <c:v>OESTE</c:v>
                  </c:pt>
                  <c:pt idx="23">
                    <c:v>LESTE</c:v>
                  </c:pt>
                  <c:pt idx="35">
                    <c:v>NORTE</c:v>
                  </c:pt>
                </c:lvl>
              </c:multiLvlStrCache>
            </c:multiLvlStrRef>
          </c:cat>
          <c:val>
            <c:numRef>
              <c:f>(Planilha1!$Z$45:$Z$55,Planilha1!$Z$58:$Z$69,Planilha1!$Z$72:$Z$83,Planilha1!$Z$86:$Z$97)</c:f>
              <c:numCache>
                <c:formatCode>General</c:formatCode>
                <c:ptCount val="47"/>
                <c:pt idx="0">
                  <c:v>147.22280000000015</c:v>
                </c:pt>
                <c:pt idx="1">
                  <c:v>147.2328000000002</c:v>
                </c:pt>
                <c:pt idx="2">
                  <c:v>147.2328000000002</c:v>
                </c:pt>
                <c:pt idx="3">
                  <c:v>147.2328000000002</c:v>
                </c:pt>
                <c:pt idx="4">
                  <c:v>147.2328000000002</c:v>
                </c:pt>
                <c:pt idx="5">
                  <c:v>214.15680000000023</c:v>
                </c:pt>
                <c:pt idx="6">
                  <c:v>214.15680000000023</c:v>
                </c:pt>
                <c:pt idx="7">
                  <c:v>281.08080000000024</c:v>
                </c:pt>
                <c:pt idx="8">
                  <c:v>281.08080000000024</c:v>
                </c:pt>
                <c:pt idx="9">
                  <c:v>348.00480000000027</c:v>
                </c:pt>
                <c:pt idx="10">
                  <c:v>414.92880000000025</c:v>
                </c:pt>
                <c:pt idx="11">
                  <c:v>0</c:v>
                </c:pt>
                <c:pt idx="12">
                  <c:v>323.66880000000026</c:v>
                </c:pt>
                <c:pt idx="13">
                  <c:v>385.91280000000023</c:v>
                </c:pt>
                <c:pt idx="14">
                  <c:v>448.1568000000002</c:v>
                </c:pt>
                <c:pt idx="15">
                  <c:v>572.64480000000026</c:v>
                </c:pt>
                <c:pt idx="16">
                  <c:v>697.13280000000032</c:v>
                </c:pt>
                <c:pt idx="17">
                  <c:v>759.37680000000023</c:v>
                </c:pt>
                <c:pt idx="18">
                  <c:v>821.62080000000037</c:v>
                </c:pt>
                <c:pt idx="19">
                  <c:v>883.86480000000029</c:v>
                </c:pt>
                <c:pt idx="20">
                  <c:v>883.86480000000029</c:v>
                </c:pt>
                <c:pt idx="21">
                  <c:v>946.10880000000031</c:v>
                </c:pt>
                <c:pt idx="22">
                  <c:v>946.10880000000031</c:v>
                </c:pt>
                <c:pt idx="23">
                  <c:v>0</c:v>
                </c:pt>
                <c:pt idx="24">
                  <c:v>566.09280000000035</c:v>
                </c:pt>
                <c:pt idx="25">
                  <c:v>487.46880000000027</c:v>
                </c:pt>
                <c:pt idx="26">
                  <c:v>408.8448000000003</c:v>
                </c:pt>
                <c:pt idx="27">
                  <c:v>408.8448000000003</c:v>
                </c:pt>
                <c:pt idx="28">
                  <c:v>408.8448000000003</c:v>
                </c:pt>
                <c:pt idx="29">
                  <c:v>408.8448000000003</c:v>
                </c:pt>
                <c:pt idx="30">
                  <c:v>408.8448000000003</c:v>
                </c:pt>
                <c:pt idx="31">
                  <c:v>487.46880000000027</c:v>
                </c:pt>
                <c:pt idx="32">
                  <c:v>566.09280000000035</c:v>
                </c:pt>
                <c:pt idx="33">
                  <c:v>723.3408000000004</c:v>
                </c:pt>
                <c:pt idx="34">
                  <c:v>880.58880000000045</c:v>
                </c:pt>
                <c:pt idx="35">
                  <c:v>0</c:v>
                </c:pt>
                <c:pt idx="36">
                  <c:v>228.00960000000021</c:v>
                </c:pt>
                <c:pt idx="37">
                  <c:v>173.72160000000019</c:v>
                </c:pt>
                <c:pt idx="38">
                  <c:v>173.72160000000019</c:v>
                </c:pt>
                <c:pt idx="39">
                  <c:v>173.72160000000019</c:v>
                </c:pt>
                <c:pt idx="40">
                  <c:v>173.72160000000019</c:v>
                </c:pt>
                <c:pt idx="41">
                  <c:v>228.00960000000021</c:v>
                </c:pt>
                <c:pt idx="42">
                  <c:v>336.58560000000023</c:v>
                </c:pt>
                <c:pt idx="43">
                  <c:v>390.87360000000024</c:v>
                </c:pt>
                <c:pt idx="44">
                  <c:v>499.44960000000026</c:v>
                </c:pt>
                <c:pt idx="45">
                  <c:v>553.73760000000016</c:v>
                </c:pt>
                <c:pt idx="46">
                  <c:v>608.02560000000028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A-4DFA-8342-D2803386C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931744"/>
        <c:axId val="980932464"/>
      </c:areaChart>
      <c:catAx>
        <c:axId val="980931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0932464"/>
        <c:crosses val="autoZero"/>
        <c:auto val="1"/>
        <c:lblAlgn val="ctr"/>
        <c:lblOffset val="100"/>
        <c:noMultiLvlLbl val="0"/>
      </c:catAx>
      <c:valAx>
        <c:axId val="98093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093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CARGA</a:t>
            </a:r>
            <a:r>
              <a:rPr lang="pt-BR" baseline="0"/>
              <a:t> TÉRMICA TETO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Planilha1!$BC$44:$BC$53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Planilha1!$BG$44:$BG$53</c:f>
              <c:numCache>
                <c:formatCode>General</c:formatCode>
                <c:ptCount val="10"/>
                <c:pt idx="0">
                  <c:v>780.65260000000023</c:v>
                </c:pt>
                <c:pt idx="1">
                  <c:v>200.73924000000005</c:v>
                </c:pt>
                <c:pt idx="2">
                  <c:v>713.73952000000008</c:v>
                </c:pt>
                <c:pt idx="3">
                  <c:v>780.65260000000023</c:v>
                </c:pt>
                <c:pt idx="4">
                  <c:v>267.65232000000009</c:v>
                </c:pt>
                <c:pt idx="5">
                  <c:v>334.56540000000007</c:v>
                </c:pt>
                <c:pt idx="6">
                  <c:v>267.65232000000009</c:v>
                </c:pt>
                <c:pt idx="7">
                  <c:v>557.60900000000015</c:v>
                </c:pt>
                <c:pt idx="8">
                  <c:v>200.73924000000005</c:v>
                </c:pt>
                <c:pt idx="9">
                  <c:v>713.73952000000008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9-427E-ABD0-37E9E6FA8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7246560"/>
        <c:axId val="677245120"/>
      </c:barChart>
      <c:catAx>
        <c:axId val="67724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7245120"/>
        <c:crosses val="autoZero"/>
        <c:auto val="1"/>
        <c:lblAlgn val="ctr"/>
        <c:lblOffset val="100"/>
        <c:noMultiLvlLbl val="0"/>
      </c:catAx>
      <c:valAx>
        <c:axId val="67724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724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CARGA</a:t>
            </a:r>
            <a:r>
              <a:rPr lang="pt-BR" baseline="0"/>
              <a:t> TÉRMICA POR AMBIENTE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Planilha5!$C$2</c:f>
              <c:strCache>
                <c:ptCount val="1"/>
                <c:pt idx="0">
                  <c:v>JANELA</c:v>
                </c:pt>
              </c:strCache>
            </c:strRef>
          </c:tx>
          <c:spPr>
            <a:ln w="34925" cap="rnd">
              <a:solidFill>
                <a:srgbClr val="7030A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Planilha5!$B$3:$B$12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Planilha5!$C$3:$C$12</c:f>
              <c:numCache>
                <c:formatCode>0.00</c:formatCode>
                <c:ptCount val="10"/>
                <c:pt idx="0">
                  <c:v>412.38</c:v>
                </c:pt>
                <c:pt idx="1">
                  <c:v>2474.2799999999997</c:v>
                </c:pt>
                <c:pt idx="2">
                  <c:v>0</c:v>
                </c:pt>
                <c:pt idx="3">
                  <c:v>1299.78</c:v>
                </c:pt>
                <c:pt idx="4">
                  <c:v>618.57000000000005</c:v>
                </c:pt>
                <c:pt idx="5">
                  <c:v>1299.78</c:v>
                </c:pt>
                <c:pt idx="6">
                  <c:v>412.38</c:v>
                </c:pt>
                <c:pt idx="7">
                  <c:v>1949.67</c:v>
                </c:pt>
                <c:pt idx="8">
                  <c:v>3800.16</c:v>
                </c:pt>
                <c:pt idx="9">
                  <c:v>618.57000000000005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47-4BC5-B5B1-DC4A3113D726}"/>
            </c:ext>
          </c:extLst>
        </c:ser>
        <c:ser>
          <c:idx val="1"/>
          <c:order val="1"/>
          <c:tx>
            <c:strRef>
              <c:f>Planilha5!$D$2</c:f>
              <c:strCache>
                <c:ptCount val="1"/>
                <c:pt idx="0">
                  <c:v>PAREDE EXTERNA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Planilha5!$B$3:$B$12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Planilha5!$D$3:$D$12</c:f>
              <c:numCache>
                <c:formatCode>0.00</c:formatCode>
                <c:ptCount val="10"/>
                <c:pt idx="0">
                  <c:v>182.80080000000012</c:v>
                </c:pt>
                <c:pt idx="1">
                  <c:v>470.05920000000032</c:v>
                </c:pt>
                <c:pt idx="2">
                  <c:v>481.85280000000023</c:v>
                </c:pt>
                <c:pt idx="3">
                  <c:v>305.8848000000001</c:v>
                </c:pt>
                <c:pt idx="4">
                  <c:v>141.52320000000006</c:v>
                </c:pt>
                <c:pt idx="5">
                  <c:v>141.52320000000006</c:v>
                </c:pt>
                <c:pt idx="6">
                  <c:v>141.52320000000006</c:v>
                </c:pt>
                <c:pt idx="7">
                  <c:v>456.01920000000018</c:v>
                </c:pt>
                <c:pt idx="8">
                  <c:v>623.75040000000035</c:v>
                </c:pt>
                <c:pt idx="9">
                  <c:v>408.84480000000019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47-4BC5-B5B1-DC4A3113D726}"/>
            </c:ext>
          </c:extLst>
        </c:ser>
        <c:ser>
          <c:idx val="2"/>
          <c:order val="2"/>
          <c:tx>
            <c:strRef>
              <c:f>Planilha5!$E$2</c:f>
              <c:strCache>
                <c:ptCount val="1"/>
                <c:pt idx="0">
                  <c:v>TETO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Planilha5!$B$3:$B$12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Planilha5!$E$3:$E$12</c:f>
              <c:numCache>
                <c:formatCode>0.00</c:formatCode>
                <c:ptCount val="10"/>
                <c:pt idx="0">
                  <c:v>780.65260000000023</c:v>
                </c:pt>
                <c:pt idx="1">
                  <c:v>1204.4354400000002</c:v>
                </c:pt>
                <c:pt idx="2">
                  <c:v>713.73952000000008</c:v>
                </c:pt>
                <c:pt idx="3">
                  <c:v>780.65260000000023</c:v>
                </c:pt>
                <c:pt idx="4">
                  <c:v>267.65232000000009</c:v>
                </c:pt>
                <c:pt idx="5">
                  <c:v>334.56540000000007</c:v>
                </c:pt>
                <c:pt idx="6">
                  <c:v>267.65232000000009</c:v>
                </c:pt>
                <c:pt idx="7">
                  <c:v>557.60900000000015</c:v>
                </c:pt>
                <c:pt idx="8">
                  <c:v>1405.1746800000003</c:v>
                </c:pt>
                <c:pt idx="9">
                  <c:v>713.73952000000008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47-4BC5-B5B1-DC4A3113D726}"/>
            </c:ext>
          </c:extLst>
        </c:ser>
        <c:ser>
          <c:idx val="3"/>
          <c:order val="3"/>
          <c:tx>
            <c:strRef>
              <c:f>Planilha5!$F$2</c:f>
              <c:strCache>
                <c:ptCount val="1"/>
                <c:pt idx="0">
                  <c:v>PAREDE INTERNA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Planilha5!$B$3:$B$12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Planilha5!$F$3:$F$12</c:f>
              <c:numCache>
                <c:formatCode>0.00</c:formatCode>
                <c:ptCount val="10"/>
                <c:pt idx="0">
                  <c:v>0</c:v>
                </c:pt>
                <c:pt idx="1">
                  <c:v>1741.8000000000002</c:v>
                </c:pt>
                <c:pt idx="2">
                  <c:v>72.58</c:v>
                </c:pt>
                <c:pt idx="3">
                  <c:v>169.34</c:v>
                </c:pt>
                <c:pt idx="4">
                  <c:v>145.15</c:v>
                </c:pt>
                <c:pt idx="5">
                  <c:v>145.15</c:v>
                </c:pt>
                <c:pt idx="6">
                  <c:v>72.58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47-4BC5-B5B1-DC4A3113D726}"/>
            </c:ext>
          </c:extLst>
        </c:ser>
        <c:ser>
          <c:idx val="4"/>
          <c:order val="4"/>
          <c:tx>
            <c:strRef>
              <c:f>Planilha5!$G$2</c:f>
              <c:strCache>
                <c:ptCount val="1"/>
                <c:pt idx="0">
                  <c:v>PESSOAS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Planilha5!$B$3:$B$12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Planilha5!$G$3:$G$12</c:f>
              <c:numCache>
                <c:formatCode>0.00</c:formatCode>
                <c:ptCount val="10"/>
                <c:pt idx="0">
                  <c:v>3900</c:v>
                </c:pt>
                <c:pt idx="1">
                  <c:v>2340</c:v>
                </c:pt>
                <c:pt idx="2">
                  <c:v>0</c:v>
                </c:pt>
                <c:pt idx="3">
                  <c:v>1200</c:v>
                </c:pt>
                <c:pt idx="4">
                  <c:v>0</c:v>
                </c:pt>
                <c:pt idx="5">
                  <c:v>520</c:v>
                </c:pt>
                <c:pt idx="6">
                  <c:v>0</c:v>
                </c:pt>
                <c:pt idx="7">
                  <c:v>780</c:v>
                </c:pt>
                <c:pt idx="8">
                  <c:v>2730</c:v>
                </c:pt>
                <c:pt idx="9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47-4BC5-B5B1-DC4A3113D726}"/>
            </c:ext>
          </c:extLst>
        </c:ser>
        <c:ser>
          <c:idx val="5"/>
          <c:order val="5"/>
          <c:tx>
            <c:strRef>
              <c:f>Planilha5!$I$2</c:f>
              <c:strCache>
                <c:ptCount val="1"/>
                <c:pt idx="0">
                  <c:v>EQUIPAMENTO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Planilha5!$B$3:$B$12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Planilha5!$I$3:$I$12</c:f>
              <c:numCache>
                <c:formatCode>0.00</c:formatCode>
                <c:ptCount val="10"/>
                <c:pt idx="0">
                  <c:v>200</c:v>
                </c:pt>
                <c:pt idx="1">
                  <c:v>900</c:v>
                </c:pt>
                <c:pt idx="2">
                  <c:v>540</c:v>
                </c:pt>
                <c:pt idx="3">
                  <c:v>200</c:v>
                </c:pt>
                <c:pt idx="4">
                  <c:v>0</c:v>
                </c:pt>
                <c:pt idx="5">
                  <c:v>200</c:v>
                </c:pt>
                <c:pt idx="6">
                  <c:v>0</c:v>
                </c:pt>
                <c:pt idx="7">
                  <c:v>500</c:v>
                </c:pt>
                <c:pt idx="8">
                  <c:v>1050</c:v>
                </c:pt>
                <c:pt idx="9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A47-4BC5-B5B1-DC4A3113D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504992"/>
        <c:axId val="966505352"/>
      </c:lineChart>
      <c:catAx>
        <c:axId val="9665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6505352"/>
        <c:crosses val="autoZero"/>
        <c:auto val="1"/>
        <c:lblAlgn val="ctr"/>
        <c:lblOffset val="100"/>
        <c:noMultiLvlLbl val="0"/>
      </c:catAx>
      <c:valAx>
        <c:axId val="966505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650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CARGA</a:t>
            </a:r>
            <a:r>
              <a:rPr lang="pt-BR" baseline="0"/>
              <a:t> TÉRMICA POR AMBIENTE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Planilha5!$C$2</c:f>
              <c:strCache>
                <c:ptCount val="1"/>
                <c:pt idx="0">
                  <c:v>JANELA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Planilha5!$B$3:$B$12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Planilha5!$C$3:$C$12</c:f>
              <c:numCache>
                <c:formatCode>0.00</c:formatCode>
                <c:ptCount val="10"/>
                <c:pt idx="0">
                  <c:v>412.38</c:v>
                </c:pt>
                <c:pt idx="1">
                  <c:v>2474.2799999999997</c:v>
                </c:pt>
                <c:pt idx="2">
                  <c:v>0</c:v>
                </c:pt>
                <c:pt idx="3">
                  <c:v>1299.78</c:v>
                </c:pt>
                <c:pt idx="4">
                  <c:v>618.57000000000005</c:v>
                </c:pt>
                <c:pt idx="5">
                  <c:v>1299.78</c:v>
                </c:pt>
                <c:pt idx="6">
                  <c:v>412.38</c:v>
                </c:pt>
                <c:pt idx="7">
                  <c:v>1949.67</c:v>
                </c:pt>
                <c:pt idx="8">
                  <c:v>3800.16</c:v>
                </c:pt>
                <c:pt idx="9">
                  <c:v>618.57000000000005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8-4859-B526-8A5F3AA77B0A}"/>
            </c:ext>
          </c:extLst>
        </c:ser>
        <c:ser>
          <c:idx val="1"/>
          <c:order val="1"/>
          <c:tx>
            <c:strRef>
              <c:f>Planilha5!$D$2</c:f>
              <c:strCache>
                <c:ptCount val="1"/>
                <c:pt idx="0">
                  <c:v>PAREDE EXTERNA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Planilha5!$B$3:$B$12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Planilha5!$D$3:$D$12</c:f>
              <c:numCache>
                <c:formatCode>0.00</c:formatCode>
                <c:ptCount val="10"/>
                <c:pt idx="0">
                  <c:v>182.80080000000012</c:v>
                </c:pt>
                <c:pt idx="1">
                  <c:v>470.05920000000032</c:v>
                </c:pt>
                <c:pt idx="2">
                  <c:v>481.85280000000023</c:v>
                </c:pt>
                <c:pt idx="3">
                  <c:v>305.8848000000001</c:v>
                </c:pt>
                <c:pt idx="4">
                  <c:v>141.52320000000006</c:v>
                </c:pt>
                <c:pt idx="5">
                  <c:v>141.52320000000006</c:v>
                </c:pt>
                <c:pt idx="6">
                  <c:v>141.52320000000006</c:v>
                </c:pt>
                <c:pt idx="7">
                  <c:v>456.01920000000018</c:v>
                </c:pt>
                <c:pt idx="8">
                  <c:v>623.75040000000035</c:v>
                </c:pt>
                <c:pt idx="9">
                  <c:v>408.84480000000019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38-4859-B526-8A5F3AA77B0A}"/>
            </c:ext>
          </c:extLst>
        </c:ser>
        <c:ser>
          <c:idx val="2"/>
          <c:order val="2"/>
          <c:tx>
            <c:strRef>
              <c:f>Planilha5!$E$2</c:f>
              <c:strCache>
                <c:ptCount val="1"/>
                <c:pt idx="0">
                  <c:v>TETO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Planilha5!$B$3:$B$12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Planilha5!$E$3:$E$12</c:f>
              <c:numCache>
                <c:formatCode>0.00</c:formatCode>
                <c:ptCount val="10"/>
                <c:pt idx="0">
                  <c:v>780.65260000000023</c:v>
                </c:pt>
                <c:pt idx="1">
                  <c:v>1204.4354400000002</c:v>
                </c:pt>
                <c:pt idx="2">
                  <c:v>713.73952000000008</c:v>
                </c:pt>
                <c:pt idx="3">
                  <c:v>780.65260000000023</c:v>
                </c:pt>
                <c:pt idx="4">
                  <c:v>267.65232000000009</c:v>
                </c:pt>
                <c:pt idx="5">
                  <c:v>334.56540000000007</c:v>
                </c:pt>
                <c:pt idx="6">
                  <c:v>267.65232000000009</c:v>
                </c:pt>
                <c:pt idx="7">
                  <c:v>557.60900000000015</c:v>
                </c:pt>
                <c:pt idx="8">
                  <c:v>1405.1746800000003</c:v>
                </c:pt>
                <c:pt idx="9">
                  <c:v>713.73952000000008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38-4859-B526-8A5F3AA77B0A}"/>
            </c:ext>
          </c:extLst>
        </c:ser>
        <c:ser>
          <c:idx val="3"/>
          <c:order val="3"/>
          <c:tx>
            <c:strRef>
              <c:f>Planilha5!$F$2</c:f>
              <c:strCache>
                <c:ptCount val="1"/>
                <c:pt idx="0">
                  <c:v>PAREDE INTERNA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Planilha5!$B$3:$B$12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Planilha5!$F$3:$F$12</c:f>
              <c:numCache>
                <c:formatCode>0.00</c:formatCode>
                <c:ptCount val="10"/>
                <c:pt idx="0">
                  <c:v>0</c:v>
                </c:pt>
                <c:pt idx="1">
                  <c:v>1741.8000000000002</c:v>
                </c:pt>
                <c:pt idx="2">
                  <c:v>72.58</c:v>
                </c:pt>
                <c:pt idx="3">
                  <c:v>169.34</c:v>
                </c:pt>
                <c:pt idx="4">
                  <c:v>145.15</c:v>
                </c:pt>
                <c:pt idx="5">
                  <c:v>145.15</c:v>
                </c:pt>
                <c:pt idx="6">
                  <c:v>72.58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38-4859-B526-8A5F3AA77B0A}"/>
            </c:ext>
          </c:extLst>
        </c:ser>
        <c:ser>
          <c:idx val="4"/>
          <c:order val="4"/>
          <c:tx>
            <c:strRef>
              <c:f>Planilha5!$G$2</c:f>
              <c:strCache>
                <c:ptCount val="1"/>
                <c:pt idx="0">
                  <c:v>PESSOAS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Planilha5!$B$3:$B$12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Planilha5!$G$3:$G$12</c:f>
              <c:numCache>
                <c:formatCode>0.00</c:formatCode>
                <c:ptCount val="10"/>
                <c:pt idx="0">
                  <c:v>3900</c:v>
                </c:pt>
                <c:pt idx="1">
                  <c:v>2340</c:v>
                </c:pt>
                <c:pt idx="2">
                  <c:v>0</c:v>
                </c:pt>
                <c:pt idx="3">
                  <c:v>1200</c:v>
                </c:pt>
                <c:pt idx="4">
                  <c:v>0</c:v>
                </c:pt>
                <c:pt idx="5">
                  <c:v>520</c:v>
                </c:pt>
                <c:pt idx="6">
                  <c:v>0</c:v>
                </c:pt>
                <c:pt idx="7">
                  <c:v>780</c:v>
                </c:pt>
                <c:pt idx="8">
                  <c:v>2730</c:v>
                </c:pt>
                <c:pt idx="9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38-4859-B526-8A5F3AA77B0A}"/>
            </c:ext>
          </c:extLst>
        </c:ser>
        <c:ser>
          <c:idx val="5"/>
          <c:order val="5"/>
          <c:tx>
            <c:strRef>
              <c:f>Planilha5!$H$2</c:f>
              <c:strCache>
                <c:ptCount val="1"/>
                <c:pt idx="0">
                  <c:v>ILUMINAÇÃO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Planilha5!$B$3:$B$12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Planilha5!$H$3:$H$12</c:f>
              <c:numCache>
                <c:formatCode>0.00</c:formatCode>
                <c:ptCount val="10"/>
                <c:pt idx="0">
                  <c:v>350</c:v>
                </c:pt>
                <c:pt idx="1">
                  <c:v>540</c:v>
                </c:pt>
                <c:pt idx="2">
                  <c:v>320</c:v>
                </c:pt>
                <c:pt idx="3">
                  <c:v>350</c:v>
                </c:pt>
                <c:pt idx="4">
                  <c:v>120</c:v>
                </c:pt>
                <c:pt idx="5">
                  <c:v>150</c:v>
                </c:pt>
                <c:pt idx="6">
                  <c:v>120</c:v>
                </c:pt>
                <c:pt idx="7">
                  <c:v>250</c:v>
                </c:pt>
                <c:pt idx="8">
                  <c:v>630</c:v>
                </c:pt>
                <c:pt idx="9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38-4859-B526-8A5F3AA77B0A}"/>
            </c:ext>
          </c:extLst>
        </c:ser>
        <c:ser>
          <c:idx val="6"/>
          <c:order val="6"/>
          <c:tx>
            <c:strRef>
              <c:f>Planilha5!$I$2</c:f>
              <c:strCache>
                <c:ptCount val="1"/>
                <c:pt idx="0">
                  <c:v>EQUIPAMENTO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Planilha5!$B$3:$B$12</c:f>
              <c:strCache>
                <c:ptCount val="10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</c:strCache>
            </c:strRef>
          </c:cat>
          <c:val>
            <c:numRef>
              <c:f>Planilha5!$I$3:$I$12</c:f>
              <c:numCache>
                <c:formatCode>0.00</c:formatCode>
                <c:ptCount val="10"/>
                <c:pt idx="0">
                  <c:v>200</c:v>
                </c:pt>
                <c:pt idx="1">
                  <c:v>900</c:v>
                </c:pt>
                <c:pt idx="2">
                  <c:v>540</c:v>
                </c:pt>
                <c:pt idx="3">
                  <c:v>200</c:v>
                </c:pt>
                <c:pt idx="4">
                  <c:v>0</c:v>
                </c:pt>
                <c:pt idx="5">
                  <c:v>200</c:v>
                </c:pt>
                <c:pt idx="6">
                  <c:v>0</c:v>
                </c:pt>
                <c:pt idx="7">
                  <c:v>500</c:v>
                </c:pt>
                <c:pt idx="8">
                  <c:v>1050</c:v>
                </c:pt>
                <c:pt idx="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38-4859-B526-8A5F3AA7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45639640"/>
        <c:axId val="745646840"/>
      </c:barChart>
      <c:catAx>
        <c:axId val="745639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5646840"/>
        <c:crosses val="autoZero"/>
        <c:auto val="1"/>
        <c:lblAlgn val="ctr"/>
        <c:lblOffset val="100"/>
        <c:noMultiLvlLbl val="0"/>
      </c:catAx>
      <c:valAx>
        <c:axId val="74564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5639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275617</xdr:colOff>
      <xdr:row>103</xdr:row>
      <xdr:rowOff>144294</xdr:rowOff>
    </xdr:from>
    <xdr:to>
      <xdr:col>13</xdr:col>
      <xdr:colOff>535022</xdr:colOff>
      <xdr:row>119</xdr:row>
      <xdr:rowOff>34047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4E9465-CD3B-A4AA-6A3D-B117CF29B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308043</xdr:colOff>
      <xdr:row>120</xdr:row>
      <xdr:rowOff>47017</xdr:rowOff>
    </xdr:from>
    <xdr:to>
      <xdr:col>13</xdr:col>
      <xdr:colOff>567448</xdr:colOff>
      <xdr:row>135</xdr:row>
      <xdr:rowOff>115111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B26056-9693-0EB4-1BBD-9D72E4EAC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486383</xdr:colOff>
      <xdr:row>136</xdr:row>
      <xdr:rowOff>144294</xdr:rowOff>
    </xdr:from>
    <xdr:to>
      <xdr:col>13</xdr:col>
      <xdr:colOff>745788</xdr:colOff>
      <xdr:row>152</xdr:row>
      <xdr:rowOff>34047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79D6971-4401-95E8-B234-95A631E61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535021</xdr:colOff>
      <xdr:row>153</xdr:row>
      <xdr:rowOff>79443</xdr:rowOff>
    </xdr:from>
    <xdr:to>
      <xdr:col>13</xdr:col>
      <xdr:colOff>794426</xdr:colOff>
      <xdr:row>168</xdr:row>
      <xdr:rowOff>147536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0E8D6CB-24AF-C631-A7C9-CDEE0ABF3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568960</xdr:colOff>
      <xdr:row>71</xdr:row>
      <xdr:rowOff>121920</xdr:rowOff>
    </xdr:from>
    <xdr:to>
      <xdr:col>37</xdr:col>
      <xdr:colOff>264160</xdr:colOff>
      <xdr:row>86</xdr:row>
      <xdr:rowOff>101600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E895F11-76B7-8F1A-359E-6C4833376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880066</xdr:colOff>
      <xdr:row>103</xdr:row>
      <xdr:rowOff>146546</xdr:rowOff>
    </xdr:from>
    <xdr:to>
      <xdr:col>22</xdr:col>
      <xdr:colOff>360520</xdr:colOff>
      <xdr:row>125</xdr:row>
      <xdr:rowOff>18160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966B411-08DE-E1DA-6F9E-C614F1DA0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59</xdr:col>
      <xdr:colOff>440028</xdr:colOff>
      <xdr:row>35</xdr:row>
      <xdr:rowOff>150891</xdr:rowOff>
    </xdr:from>
    <xdr:to>
      <xdr:col>67</xdr:col>
      <xdr:colOff>467762</xdr:colOff>
      <xdr:row>52</xdr:row>
      <xdr:rowOff>169571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FB0692A-ECED-E611-B7ED-58B2E48B8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403860</xdr:colOff>
      <xdr:row>8</xdr:row>
      <xdr:rowOff>179070</xdr:rowOff>
    </xdr:from>
    <xdr:to>
      <xdr:col>29</xdr:col>
      <xdr:colOff>411480</xdr:colOff>
      <xdr:row>37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C72780-2D9C-F278-2AD6-6644AFD4C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550985</xdr:colOff>
      <xdr:row>37</xdr:row>
      <xdr:rowOff>181706</xdr:rowOff>
    </xdr:from>
    <xdr:to>
      <xdr:col>28</xdr:col>
      <xdr:colOff>152400</xdr:colOff>
      <xdr:row>66</xdr:row>
      <xdr:rowOff>128954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3726F73-0DEE-5453-CCD5-D4E0DB63D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13</xdr:row>
      <xdr:rowOff>0</xdr:rowOff>
    </xdr:from>
    <xdr:to>
      <xdr:col>32</xdr:col>
      <xdr:colOff>568950</xdr:colOff>
      <xdr:row>36</xdr:row>
      <xdr:rowOff>57654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2C4AAF-4A2C-7550-C48F-A9F543243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89727" y="2362748"/>
          <a:ext cx="7262489" cy="422946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6EF5-DD54-4222-A66F-3C47ABBFA572}">
  <dimension ref="B1:BG101"/>
  <sheetViews>
    <sheetView zoomScale="34" zoomScaleNormal="100" workbookViewId="0">
      <selection activeCell="AR32" sqref="AR32"/>
    </sheetView>
  </sheetViews>
  <sheetFormatPr defaultRowHeight="14.4" x14ac:dyDescent="0.3"/>
  <cols>
    <col min="14" max="15" width="13.109375" customWidth="1"/>
    <col min="17" max="17" width="11.33203125" customWidth="1"/>
    <col min="20" max="20" width="11.33203125" customWidth="1"/>
    <col min="21" max="25" width="10.6640625" customWidth="1"/>
  </cols>
  <sheetData>
    <row r="1" spans="3:57" ht="15" thickBot="1" x14ac:dyDescent="0.35"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1"/>
    </row>
    <row r="2" spans="3:57" ht="15" thickBot="1" x14ac:dyDescent="0.35">
      <c r="C2" s="2"/>
      <c r="AF2" s="113" t="s">
        <v>0</v>
      </c>
      <c r="AG2" s="109">
        <v>8</v>
      </c>
      <c r="AH2" s="109">
        <v>9</v>
      </c>
      <c r="AI2" s="109">
        <v>10</v>
      </c>
      <c r="AJ2" s="109">
        <v>11</v>
      </c>
      <c r="AK2" s="109">
        <v>12</v>
      </c>
      <c r="AL2" s="109">
        <v>13</v>
      </c>
      <c r="AM2" s="109">
        <v>14</v>
      </c>
      <c r="AN2" s="109">
        <v>15</v>
      </c>
      <c r="AO2" s="109">
        <v>16</v>
      </c>
      <c r="AP2" s="109">
        <v>17</v>
      </c>
      <c r="AQ2" s="111">
        <v>18</v>
      </c>
      <c r="BE2" s="22"/>
    </row>
    <row r="3" spans="3:57" ht="15" thickBot="1" x14ac:dyDescent="0.35">
      <c r="C3" s="2"/>
      <c r="D3" s="115" t="s">
        <v>1</v>
      </c>
      <c r="E3" s="116"/>
      <c r="F3" s="116"/>
      <c r="G3" s="117"/>
      <c r="I3" s="123" t="s">
        <v>2</v>
      </c>
      <c r="J3" s="124"/>
      <c r="K3" s="124"/>
      <c r="L3" s="125"/>
      <c r="N3" s="119" t="s">
        <v>3</v>
      </c>
      <c r="O3" s="120"/>
      <c r="P3" s="121"/>
      <c r="Q3" s="121"/>
      <c r="R3" s="121"/>
      <c r="S3" s="121"/>
      <c r="T3" s="121"/>
      <c r="U3" s="122"/>
      <c r="V3" s="44"/>
      <c r="W3" s="44"/>
      <c r="X3" s="44"/>
      <c r="Y3" s="44"/>
      <c r="AA3" s="119" t="s">
        <v>4</v>
      </c>
      <c r="AB3" s="121"/>
      <c r="AC3" s="121"/>
      <c r="AD3" s="122"/>
      <c r="AF3" s="114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2"/>
      <c r="BE3" s="22"/>
    </row>
    <row r="4" spans="3:57" x14ac:dyDescent="0.3">
      <c r="C4" s="2"/>
      <c r="D4" s="2"/>
      <c r="G4" s="22"/>
      <c r="I4" s="2" t="s">
        <v>5</v>
      </c>
      <c r="J4">
        <v>32.200000000000003</v>
      </c>
      <c r="K4" t="s">
        <v>6</v>
      </c>
      <c r="L4" s="3">
        <f>J4-(J5/2)</f>
        <v>26.6</v>
      </c>
      <c r="N4" s="10" t="s">
        <v>7</v>
      </c>
      <c r="O4" s="23" t="s">
        <v>8</v>
      </c>
      <c r="P4" s="7" t="s">
        <v>9</v>
      </c>
      <c r="Q4" s="7" t="s">
        <v>10</v>
      </c>
      <c r="R4" s="7" t="s">
        <v>11</v>
      </c>
      <c r="S4" s="7" t="s">
        <v>12</v>
      </c>
      <c r="T4" s="7" t="s">
        <v>13</v>
      </c>
      <c r="U4" s="11" t="s">
        <v>14</v>
      </c>
      <c r="V4" s="44"/>
      <c r="W4" s="44"/>
      <c r="X4" s="44"/>
      <c r="Y4" s="44"/>
      <c r="AA4" s="29" t="s">
        <v>15</v>
      </c>
      <c r="AB4" s="27" t="s">
        <v>16</v>
      </c>
      <c r="AC4" s="27" t="s">
        <v>17</v>
      </c>
      <c r="AD4" s="30" t="s">
        <v>18</v>
      </c>
      <c r="AF4" s="15" t="s">
        <v>19</v>
      </c>
      <c r="AG4" s="7">
        <v>6</v>
      </c>
      <c r="AH4" s="7">
        <v>5</v>
      </c>
      <c r="AI4" s="7">
        <v>5</v>
      </c>
      <c r="AJ4" s="7">
        <v>5</v>
      </c>
      <c r="AK4" s="7">
        <v>5</v>
      </c>
      <c r="AL4" s="7">
        <v>6</v>
      </c>
      <c r="AM4" s="7">
        <v>8</v>
      </c>
      <c r="AN4" s="7">
        <v>9</v>
      </c>
      <c r="AO4" s="7">
        <v>11</v>
      </c>
      <c r="AP4" s="7">
        <v>12</v>
      </c>
      <c r="AQ4" s="11">
        <v>13</v>
      </c>
      <c r="AT4" s="40" t="s">
        <v>20</v>
      </c>
      <c r="AU4" s="9"/>
      <c r="AW4" s="40" t="s">
        <v>21</v>
      </c>
      <c r="AX4" s="9"/>
      <c r="AZ4" s="40" t="s">
        <v>22</v>
      </c>
      <c r="BA4" s="9"/>
      <c r="BC4" s="40" t="s">
        <v>23</v>
      </c>
      <c r="BD4" s="9"/>
      <c r="BE4" s="22"/>
    </row>
    <row r="5" spans="3:57" ht="15" thickBot="1" x14ac:dyDescent="0.35">
      <c r="C5" s="2"/>
      <c r="D5" s="2" t="s">
        <v>24</v>
      </c>
      <c r="E5">
        <v>10.98</v>
      </c>
      <c r="F5" t="s">
        <v>25</v>
      </c>
      <c r="G5" s="22"/>
      <c r="I5" s="4" t="s">
        <v>26</v>
      </c>
      <c r="J5" s="5">
        <v>11.2</v>
      </c>
      <c r="K5" s="5"/>
      <c r="L5" s="6"/>
      <c r="N5" s="15" t="s">
        <v>27</v>
      </c>
      <c r="O5" s="24" t="s">
        <v>25</v>
      </c>
      <c r="P5" s="8">
        <v>53</v>
      </c>
      <c r="Q5" s="8">
        <v>2.7</v>
      </c>
      <c r="R5" s="8">
        <f>P5*Q5</f>
        <v>143.10000000000002</v>
      </c>
      <c r="S5" s="7">
        <v>6</v>
      </c>
      <c r="T5" s="7">
        <f>S5*AD5</f>
        <v>18</v>
      </c>
      <c r="U5" s="12">
        <f>R5-T5</f>
        <v>125.10000000000002</v>
      </c>
      <c r="V5" s="45"/>
      <c r="W5" s="45"/>
      <c r="X5" s="45"/>
      <c r="Y5" s="45"/>
      <c r="AA5" s="31" t="s">
        <v>28</v>
      </c>
      <c r="AB5" s="28">
        <v>2</v>
      </c>
      <c r="AC5" s="28">
        <v>1.5</v>
      </c>
      <c r="AD5" s="32">
        <f>AB5*AC5</f>
        <v>3</v>
      </c>
      <c r="AF5" s="15" t="s">
        <v>29</v>
      </c>
      <c r="AG5" s="7">
        <v>7</v>
      </c>
      <c r="AH5" s="7">
        <v>8</v>
      </c>
      <c r="AI5" s="7">
        <v>9</v>
      </c>
      <c r="AJ5" s="7">
        <v>11</v>
      </c>
      <c r="AK5" s="7">
        <v>13</v>
      </c>
      <c r="AL5" s="7">
        <v>14</v>
      </c>
      <c r="AM5" s="7">
        <v>15</v>
      </c>
      <c r="AN5" s="7">
        <v>16</v>
      </c>
      <c r="AO5" s="7">
        <v>16</v>
      </c>
      <c r="AP5" s="7">
        <v>17</v>
      </c>
      <c r="AQ5" s="11">
        <v>17</v>
      </c>
      <c r="AT5" s="15">
        <v>1</v>
      </c>
      <c r="AU5" s="41">
        <f>(AG6+($AG$18))*1+(25.5-24)+(26.6-29.4)</f>
        <v>2.2000000000000028</v>
      </c>
      <c r="AW5" s="15">
        <v>1</v>
      </c>
      <c r="AX5" s="41">
        <f>(AG5+($AG$16))*1+(25.5-24)+(26.6-29.4)</f>
        <v>5.2000000000000028</v>
      </c>
      <c r="AZ5" s="15">
        <v>1</v>
      </c>
      <c r="BA5" s="41">
        <f>(AG7+($AG$17))*1+(25.5-24)+(26.6-29.4)</f>
        <v>7.2000000000000028</v>
      </c>
      <c r="BC5" s="15">
        <v>1</v>
      </c>
      <c r="BD5" s="41">
        <f>(AG4+($AG$18))*1+(25.5-24)+(26.6-29.4)</f>
        <v>4.2000000000000028</v>
      </c>
      <c r="BE5" s="22"/>
    </row>
    <row r="6" spans="3:57" ht="15" thickBot="1" x14ac:dyDescent="0.35">
      <c r="C6" s="2"/>
      <c r="D6" s="2" t="s">
        <v>30</v>
      </c>
      <c r="E6" t="s">
        <v>31</v>
      </c>
      <c r="G6" s="22"/>
      <c r="N6" s="15" t="s">
        <v>32</v>
      </c>
      <c r="O6" s="24" t="s">
        <v>29</v>
      </c>
      <c r="P6" s="8">
        <v>22</v>
      </c>
      <c r="Q6" s="8">
        <v>2.7</v>
      </c>
      <c r="R6" s="8">
        <f>P6*Q6</f>
        <v>59.400000000000006</v>
      </c>
      <c r="S6" s="17">
        <v>6</v>
      </c>
      <c r="T6" s="7">
        <f>S6*AD5+1.5</f>
        <v>19.5</v>
      </c>
      <c r="U6" s="12">
        <f>R6-T6</f>
        <v>39.900000000000006</v>
      </c>
      <c r="V6" s="45"/>
      <c r="W6" s="45"/>
      <c r="X6" s="45"/>
      <c r="Y6" s="45"/>
      <c r="AA6" s="33" t="s">
        <v>33</v>
      </c>
      <c r="AB6" s="34">
        <v>3</v>
      </c>
      <c r="AC6" s="34">
        <v>1.5</v>
      </c>
      <c r="AD6" s="35">
        <f>AB6*AC6</f>
        <v>4.5</v>
      </c>
      <c r="AF6" s="15" t="s">
        <v>25</v>
      </c>
      <c r="AG6" s="7">
        <v>4</v>
      </c>
      <c r="AH6" s="7">
        <v>4</v>
      </c>
      <c r="AI6" s="7">
        <v>4</v>
      </c>
      <c r="AJ6" s="7">
        <v>4</v>
      </c>
      <c r="AK6" s="7">
        <v>4</v>
      </c>
      <c r="AL6" s="7">
        <v>5</v>
      </c>
      <c r="AM6" s="7">
        <v>5</v>
      </c>
      <c r="AN6" s="7">
        <v>6</v>
      </c>
      <c r="AO6" s="7">
        <v>6</v>
      </c>
      <c r="AP6" s="7">
        <v>7</v>
      </c>
      <c r="AQ6" s="11">
        <v>8</v>
      </c>
      <c r="AT6" s="15">
        <v>2</v>
      </c>
      <c r="AU6" s="41">
        <f>(AH6+($AG$18))*1+(25.5-24)+(26.6-29.4)</f>
        <v>2.2000000000000028</v>
      </c>
      <c r="AW6" s="15">
        <v>2</v>
      </c>
      <c r="AX6" s="41">
        <f>(AH5+($AG$16))*1+(25.5-24)+(26.6-29.4)</f>
        <v>6.2000000000000028</v>
      </c>
      <c r="AZ6" s="15">
        <v>2</v>
      </c>
      <c r="BA6" s="41">
        <f>(AH7+($AG$17))*1+(25.5-24)+(26.6-29.4)</f>
        <v>6.2000000000000028</v>
      </c>
      <c r="BC6" s="15">
        <v>2</v>
      </c>
      <c r="BD6" s="41">
        <f>(AH4+($AG$18))*1+(25.5-24)+(26.6-29.4)</f>
        <v>3.2000000000000028</v>
      </c>
      <c r="BE6" s="22"/>
    </row>
    <row r="7" spans="3:57" ht="15" thickBot="1" x14ac:dyDescent="0.35">
      <c r="C7" s="2"/>
      <c r="D7" s="2" t="s">
        <v>34</v>
      </c>
      <c r="E7">
        <v>1</v>
      </c>
      <c r="G7" s="22"/>
      <c r="N7" s="15" t="s">
        <v>35</v>
      </c>
      <c r="O7" s="24" t="s">
        <v>36</v>
      </c>
      <c r="P7" s="8">
        <v>22</v>
      </c>
      <c r="Q7" s="8">
        <v>2.7</v>
      </c>
      <c r="R7" s="8">
        <f>P7*Q7</f>
        <v>59.400000000000006</v>
      </c>
      <c r="S7" s="17">
        <v>2</v>
      </c>
      <c r="T7" s="7">
        <f>S7*AD6</f>
        <v>9</v>
      </c>
      <c r="U7" s="12">
        <f>R7-T7</f>
        <v>50.400000000000006</v>
      </c>
      <c r="V7" s="45"/>
      <c r="W7" s="45"/>
      <c r="X7" s="45"/>
      <c r="Y7" s="45"/>
      <c r="AF7" s="16" t="s">
        <v>36</v>
      </c>
      <c r="AG7" s="18">
        <v>9</v>
      </c>
      <c r="AH7" s="18">
        <v>8</v>
      </c>
      <c r="AI7" s="18">
        <v>7</v>
      </c>
      <c r="AJ7" s="18">
        <v>7</v>
      </c>
      <c r="AK7" s="18">
        <v>7</v>
      </c>
      <c r="AL7" s="18">
        <v>7</v>
      </c>
      <c r="AM7" s="18">
        <v>7</v>
      </c>
      <c r="AN7" s="18">
        <v>8</v>
      </c>
      <c r="AO7" s="18">
        <v>9</v>
      </c>
      <c r="AP7" s="18">
        <v>11</v>
      </c>
      <c r="AQ7" s="26">
        <v>13</v>
      </c>
      <c r="AT7" s="15">
        <v>3</v>
      </c>
      <c r="AU7" s="41">
        <f>(AI6+($AG$18))*1+(25.5-24)+(26.6-29.4)</f>
        <v>2.2000000000000028</v>
      </c>
      <c r="AW7" s="15">
        <v>3</v>
      </c>
      <c r="AX7" s="41">
        <f>(AI5+($AG$16))*1+(25.5-24)+(26.6-29.4)</f>
        <v>7.2000000000000028</v>
      </c>
      <c r="AZ7" s="15">
        <v>3</v>
      </c>
      <c r="BA7" s="41">
        <f>(AI7+($AG$17))*1+(25.5-24)+(26.6-29.4)</f>
        <v>5.2000000000000028</v>
      </c>
      <c r="BC7" s="15">
        <v>3</v>
      </c>
      <c r="BD7" s="41">
        <f>(AI4+($AG$18))*1+(25.5-24)+(26.6-29.4)</f>
        <v>3.2000000000000028</v>
      </c>
      <c r="BE7" s="22"/>
    </row>
    <row r="8" spans="3:57" ht="15" thickBot="1" x14ac:dyDescent="0.35">
      <c r="C8" s="2"/>
      <c r="D8" s="2"/>
      <c r="G8" s="22"/>
      <c r="N8" s="16" t="s">
        <v>37</v>
      </c>
      <c r="O8" s="25" t="s">
        <v>38</v>
      </c>
      <c r="P8" s="13">
        <v>53</v>
      </c>
      <c r="Q8" s="13">
        <v>2.7</v>
      </c>
      <c r="R8" s="13">
        <f>P8*Q8</f>
        <v>143.10000000000002</v>
      </c>
      <c r="S8" s="18">
        <v>7</v>
      </c>
      <c r="T8" s="18">
        <f>S8*AD5</f>
        <v>21</v>
      </c>
      <c r="U8" s="14">
        <f>R8-T8</f>
        <v>122.10000000000002</v>
      </c>
      <c r="V8" s="45"/>
      <c r="W8" s="45"/>
      <c r="X8" s="45"/>
      <c r="Y8" s="45"/>
      <c r="AT8" s="15">
        <v>4</v>
      </c>
      <c r="AU8" s="41">
        <f>(AJ6+($AG$18))*1+(25.5-24)+(26.6-29.4)</f>
        <v>2.2000000000000028</v>
      </c>
      <c r="AW8" s="15">
        <v>4</v>
      </c>
      <c r="AX8" s="41">
        <f>(AJ5+($AG$16))*1+(25.5-24)+(26.6-29.4)</f>
        <v>9.2000000000000028</v>
      </c>
      <c r="AZ8" s="15">
        <v>4</v>
      </c>
      <c r="BA8" s="41">
        <f>(AJ7+($AG$17))*1+(25.5-24)+(26.6-29.4)</f>
        <v>5.2000000000000028</v>
      </c>
      <c r="BC8" s="15">
        <v>4</v>
      </c>
      <c r="BD8" s="41">
        <f>(AJ4+($AG$18))*1+(25.5-24)+(26.6-29.4)</f>
        <v>3.2000000000000028</v>
      </c>
      <c r="BE8" s="22"/>
    </row>
    <row r="9" spans="3:57" x14ac:dyDescent="0.3">
      <c r="C9" s="2"/>
      <c r="D9" s="2" t="s">
        <v>39</v>
      </c>
      <c r="E9">
        <v>1.56</v>
      </c>
      <c r="G9" s="22"/>
      <c r="AT9" s="15">
        <v>5</v>
      </c>
      <c r="AU9" s="41">
        <f>(AJ6+($AG$18))*1+(25.5-24)+(26.6-29.4)</f>
        <v>2.2000000000000028</v>
      </c>
      <c r="AW9" s="15">
        <v>5</v>
      </c>
      <c r="AX9" s="41">
        <f>(AK5+($AG$16))*1+(25.5-24)+(26.6-29.4)</f>
        <v>11.200000000000003</v>
      </c>
      <c r="AZ9" s="15">
        <v>5</v>
      </c>
      <c r="BA9" s="41">
        <f>(AK7+($AG$17))*1+(25.5-24)+(26.6-29.4)</f>
        <v>5.2000000000000028</v>
      </c>
      <c r="BC9" s="15">
        <v>5</v>
      </c>
      <c r="BD9" s="41">
        <f>(AK4+($AG$18))*1+(25.5-24)+(26.6-29.4)</f>
        <v>3.2000000000000028</v>
      </c>
      <c r="BE9" s="22"/>
    </row>
    <row r="10" spans="3:57" ht="15" thickBot="1" x14ac:dyDescent="0.35">
      <c r="C10" s="2"/>
      <c r="D10" s="2"/>
      <c r="G10" s="22"/>
      <c r="AT10" s="15">
        <v>6</v>
      </c>
      <c r="AU10" s="41">
        <f>(AL6+($AG$18))*1+(25.5-24)+(26.6-29.4)</f>
        <v>3.2000000000000028</v>
      </c>
      <c r="AW10" s="15">
        <v>6</v>
      </c>
      <c r="AX10" s="41">
        <f>(AL5+($AG$16))*1+(25.5-24)+(26.6-29.4)</f>
        <v>12.200000000000003</v>
      </c>
      <c r="AZ10" s="15">
        <v>6</v>
      </c>
      <c r="BA10" s="41">
        <f>(AL7+($AG$17))*1+(25.5-24)+(26.6-29.4)</f>
        <v>5.2000000000000028</v>
      </c>
      <c r="BC10" s="15">
        <v>6</v>
      </c>
      <c r="BD10" s="41">
        <f>(AL4+($AG$18))*1+(25.5-24)+(26.6-29.4)</f>
        <v>4.2000000000000028</v>
      </c>
      <c r="BE10" s="22"/>
    </row>
    <row r="11" spans="3:57" ht="15" thickBot="1" x14ac:dyDescent="0.35">
      <c r="C11" s="2"/>
      <c r="D11" s="2" t="s">
        <v>40</v>
      </c>
      <c r="E11">
        <v>0.72699999999999998</v>
      </c>
      <c r="G11" s="22"/>
      <c r="AL11" s="40" t="s">
        <v>41</v>
      </c>
      <c r="AM11" s="46"/>
      <c r="AO11" s="40" t="s">
        <v>42</v>
      </c>
      <c r="AP11" s="46"/>
      <c r="AT11" s="15">
        <v>7</v>
      </c>
      <c r="AU11" s="41">
        <f>(AM6+($AG$18))*1+(25.5-24)+(26.6-29.4)</f>
        <v>3.2000000000000028</v>
      </c>
      <c r="AW11" s="15">
        <v>7</v>
      </c>
      <c r="AX11" s="41">
        <f>(AM5+($AG$16))*1+(25.5-24)+(26.6-29.4)</f>
        <v>13.200000000000003</v>
      </c>
      <c r="AZ11" s="15">
        <v>7</v>
      </c>
      <c r="BA11" s="41">
        <f>(AM7+($AG$17))*1+(25.5-24)+(26.6-29.4)</f>
        <v>5.2000000000000028</v>
      </c>
      <c r="BC11" s="15">
        <v>7</v>
      </c>
      <c r="BD11" s="41">
        <f>(AM4+($AG$18))*1+(25.5-24)+(26.6-29.4)</f>
        <v>6.2000000000000028</v>
      </c>
      <c r="BE11" s="22"/>
    </row>
    <row r="12" spans="3:57" x14ac:dyDescent="0.3">
      <c r="C12" s="2"/>
      <c r="D12" s="2"/>
      <c r="G12" s="22"/>
      <c r="N12" s="126" t="s">
        <v>43</v>
      </c>
      <c r="O12" s="127"/>
      <c r="P12" s="127"/>
      <c r="Q12" s="127"/>
      <c r="R12" s="127"/>
      <c r="S12" s="127"/>
      <c r="T12" s="127"/>
      <c r="U12" s="128"/>
      <c r="V12" s="44"/>
      <c r="W12" s="44"/>
      <c r="X12" s="44"/>
      <c r="Y12" s="44"/>
      <c r="AL12" s="15">
        <v>8</v>
      </c>
      <c r="AM12" s="41">
        <v>11</v>
      </c>
      <c r="AO12" s="15">
        <v>8</v>
      </c>
      <c r="AP12" s="41">
        <f>(AM12+$E$5)*1+(25.5-24)+($L$4-29.4)</f>
        <v>20.680000000000003</v>
      </c>
      <c r="AT12" s="15">
        <v>8</v>
      </c>
      <c r="AU12" s="41">
        <f>(AN6+($AG$18))*1+(25.5-24)+(26.6-29.4)</f>
        <v>4.2000000000000028</v>
      </c>
      <c r="AW12" s="15">
        <v>8</v>
      </c>
      <c r="AX12" s="41">
        <f>(AN5+($AG$16))*1+(25.5-24)+(26.6-29.4)</f>
        <v>14.200000000000003</v>
      </c>
      <c r="AZ12" s="15">
        <v>8</v>
      </c>
      <c r="BA12" s="41">
        <f>(AN7+($AG$17))*1+(25.5-24)+(26.6-29.4)</f>
        <v>6.2000000000000028</v>
      </c>
      <c r="BC12" s="15">
        <v>8</v>
      </c>
      <c r="BD12" s="41">
        <f>(AN4+($AG$18))*1+(25.5-24)+(26.6-29.4)</f>
        <v>7.2000000000000028</v>
      </c>
      <c r="BE12" s="22"/>
    </row>
    <row r="13" spans="3:57" x14ac:dyDescent="0.3">
      <c r="C13" s="2"/>
      <c r="D13" s="2"/>
      <c r="G13" s="22"/>
      <c r="N13" s="15" t="s">
        <v>44</v>
      </c>
      <c r="O13" s="7" t="s">
        <v>8</v>
      </c>
      <c r="P13" s="7" t="s">
        <v>9</v>
      </c>
      <c r="Q13" s="7" t="s">
        <v>10</v>
      </c>
      <c r="R13" s="7" t="s">
        <v>11</v>
      </c>
      <c r="S13" s="7" t="s">
        <v>12</v>
      </c>
      <c r="T13" s="7" t="s">
        <v>13</v>
      </c>
      <c r="U13" s="11" t="s">
        <v>14</v>
      </c>
      <c r="V13" s="44"/>
      <c r="W13" s="44"/>
      <c r="X13" s="44"/>
      <c r="Y13" s="44"/>
      <c r="AF13" s="1" t="s">
        <v>45</v>
      </c>
      <c r="AG13" s="1"/>
      <c r="AH13" s="1"/>
      <c r="AI13" s="1"/>
      <c r="AJ13" s="1"/>
      <c r="AL13" s="15">
        <v>9</v>
      </c>
      <c r="AM13" s="41">
        <v>11</v>
      </c>
      <c r="AN13">
        <v>1</v>
      </c>
      <c r="AO13" s="15">
        <v>9</v>
      </c>
      <c r="AP13" s="41">
        <f t="shared" ref="AP13:AP22" si="0">(AM13+$E$5)*1+(25.5-24)+($L$4-29.4)</f>
        <v>20.680000000000003</v>
      </c>
      <c r="AT13" s="15">
        <v>9</v>
      </c>
      <c r="AU13" s="41">
        <f>(AO6+($AG$18))*1+(25.5-24)+(26.6-29.4)</f>
        <v>4.2000000000000028</v>
      </c>
      <c r="AW13" s="15">
        <v>9</v>
      </c>
      <c r="AX13" s="41">
        <f>(AO5+($AG$16))*1+(25.5-24)+(26.6-29.4)</f>
        <v>14.200000000000003</v>
      </c>
      <c r="AZ13" s="15">
        <v>9</v>
      </c>
      <c r="BA13" s="41">
        <f>(AO7+($AG$17))*1+(25.5-24)+(26.6-29.4)</f>
        <v>7.2000000000000028</v>
      </c>
      <c r="BC13" s="15">
        <v>9</v>
      </c>
      <c r="BD13" s="41">
        <f>(AO4+($AG$18))*1+(25.5-24)+(26.6-29.4)</f>
        <v>9.2000000000000028</v>
      </c>
      <c r="BE13" s="22"/>
    </row>
    <row r="14" spans="3:57" x14ac:dyDescent="0.3">
      <c r="C14" s="2"/>
      <c r="D14" s="2"/>
      <c r="G14" s="22"/>
      <c r="N14" s="15">
        <v>5</v>
      </c>
      <c r="O14" s="129" t="s">
        <v>25</v>
      </c>
      <c r="P14" s="7">
        <f>N14</f>
        <v>5</v>
      </c>
      <c r="Q14" s="7">
        <v>2.7</v>
      </c>
      <c r="R14" s="7">
        <f>P14*Q14</f>
        <v>13.5</v>
      </c>
      <c r="S14" s="7">
        <v>0</v>
      </c>
      <c r="T14" s="7">
        <f>S14*AD12</f>
        <v>0</v>
      </c>
      <c r="U14" s="11">
        <f>R14-T14</f>
        <v>13.5</v>
      </c>
      <c r="V14" s="44"/>
      <c r="W14" s="44"/>
      <c r="X14" s="44"/>
      <c r="Y14" s="44"/>
      <c r="AF14" s="1" t="s">
        <v>46</v>
      </c>
      <c r="AG14" s="1"/>
      <c r="AH14" s="1"/>
      <c r="AI14" s="1"/>
      <c r="AJ14" s="1"/>
      <c r="AL14" s="15">
        <v>10</v>
      </c>
      <c r="AM14" s="41">
        <v>11</v>
      </c>
      <c r="AN14">
        <v>2</v>
      </c>
      <c r="AO14" s="15">
        <v>10</v>
      </c>
      <c r="AP14" s="41">
        <f t="shared" si="0"/>
        <v>20.680000000000003</v>
      </c>
      <c r="AT14" s="15">
        <v>10</v>
      </c>
      <c r="AU14" s="41">
        <f>(AP6+($AG$18))*1+(25.5-24)+(26.6-29.4)</f>
        <v>5.2000000000000028</v>
      </c>
      <c r="AW14" s="15">
        <v>10</v>
      </c>
      <c r="AX14" s="41">
        <f>(AP5+($AG$16))*1+(25.5-24)+(26.6-29.4)</f>
        <v>15.200000000000003</v>
      </c>
      <c r="AZ14" s="15">
        <v>10</v>
      </c>
      <c r="BA14" s="41">
        <f>(AP7+($AG$17))*1+(25.5-24)+(26.6-29.4)</f>
        <v>9.2000000000000028</v>
      </c>
      <c r="BC14" s="15">
        <v>10</v>
      </c>
      <c r="BD14" s="41">
        <f>(AP4+($AG$18))*1+(25.5-24)+(26.6-29.4)</f>
        <v>10.200000000000003</v>
      </c>
      <c r="BE14" s="22"/>
    </row>
    <row r="15" spans="3:57" ht="15" thickBot="1" x14ac:dyDescent="0.35">
      <c r="C15" s="2"/>
      <c r="D15" s="2"/>
      <c r="G15" s="22"/>
      <c r="N15" s="15">
        <v>2</v>
      </c>
      <c r="O15" s="130"/>
      <c r="P15" s="7">
        <f t="shared" ref="P15:P18" si="1">N15</f>
        <v>2</v>
      </c>
      <c r="Q15" s="7">
        <v>2.7</v>
      </c>
      <c r="R15" s="7">
        <f t="shared" ref="R15:R18" si="2">P15*Q15</f>
        <v>5.4</v>
      </c>
      <c r="S15" s="17">
        <v>0</v>
      </c>
      <c r="T15" s="7"/>
      <c r="U15" s="11">
        <f t="shared" ref="U15:U18" si="3">R15-T15</f>
        <v>5.4</v>
      </c>
      <c r="V15" s="44"/>
      <c r="W15" s="44"/>
      <c r="X15" s="44"/>
      <c r="Y15" s="44"/>
      <c r="AF15" s="1" t="s">
        <v>47</v>
      </c>
      <c r="AG15" s="36" t="s">
        <v>48</v>
      </c>
      <c r="AH15" s="1"/>
      <c r="AI15" s="1"/>
      <c r="AJ15" s="1"/>
      <c r="AL15" s="15">
        <v>11</v>
      </c>
      <c r="AM15" s="41">
        <v>12</v>
      </c>
      <c r="AN15">
        <v>3</v>
      </c>
      <c r="AO15" s="15">
        <v>11</v>
      </c>
      <c r="AP15" s="41">
        <f t="shared" si="0"/>
        <v>21.680000000000003</v>
      </c>
      <c r="AT15" s="16">
        <v>11</v>
      </c>
      <c r="AU15" s="42">
        <f>(AQ6+($AG$18))*1+(25.5-24)+(26.6-29.4)</f>
        <v>6.2000000000000028</v>
      </c>
      <c r="AW15" s="16">
        <v>11</v>
      </c>
      <c r="AX15" s="42">
        <f>(AQ5+($AG$16))*1+(25.5-24)+(26.6-29.4)</f>
        <v>15.200000000000003</v>
      </c>
      <c r="AZ15" s="16">
        <v>11</v>
      </c>
      <c r="BA15" s="42">
        <f>(AQ7+($AG$17))*1+(25.5-24)+(26.6-29.4)</f>
        <v>11.200000000000003</v>
      </c>
      <c r="BC15" s="16">
        <v>11</v>
      </c>
      <c r="BD15" s="42">
        <f>(AQ4+($AG$18))*1+(25.5-24)+(26.6-29.4)</f>
        <v>11.200000000000003</v>
      </c>
      <c r="BE15" s="22"/>
    </row>
    <row r="16" spans="3:57" x14ac:dyDescent="0.3">
      <c r="C16" s="2"/>
      <c r="D16" s="2"/>
      <c r="G16" s="22"/>
      <c r="N16" s="15">
        <v>3</v>
      </c>
      <c r="O16" s="130"/>
      <c r="P16" s="7">
        <f t="shared" si="1"/>
        <v>3</v>
      </c>
      <c r="Q16" s="7">
        <v>2.7</v>
      </c>
      <c r="R16" s="7">
        <f t="shared" si="2"/>
        <v>8.1000000000000014</v>
      </c>
      <c r="S16" s="17">
        <v>1</v>
      </c>
      <c r="T16" s="7">
        <f>AD5</f>
        <v>3</v>
      </c>
      <c r="U16" s="11">
        <f t="shared" si="3"/>
        <v>5.1000000000000014</v>
      </c>
      <c r="V16" s="44"/>
      <c r="W16" s="44"/>
      <c r="X16" s="44"/>
      <c r="Y16" s="44"/>
      <c r="AF16" s="1" t="s">
        <v>49</v>
      </c>
      <c r="AG16" s="36">
        <v>-0.5</v>
      </c>
      <c r="AH16" s="1"/>
      <c r="AI16" s="1"/>
      <c r="AJ16" s="1"/>
      <c r="AL16" s="15">
        <v>12</v>
      </c>
      <c r="AM16" s="41">
        <v>13</v>
      </c>
      <c r="AN16">
        <v>4</v>
      </c>
      <c r="AO16" s="15">
        <v>12</v>
      </c>
      <c r="AP16" s="41">
        <f t="shared" si="0"/>
        <v>22.680000000000003</v>
      </c>
      <c r="BE16" s="22"/>
    </row>
    <row r="17" spans="3:57" x14ac:dyDescent="0.3">
      <c r="C17" s="2"/>
      <c r="D17" s="2"/>
      <c r="G17" s="22"/>
      <c r="N17" s="15">
        <v>3</v>
      </c>
      <c r="O17" s="130"/>
      <c r="P17" s="7">
        <f t="shared" si="1"/>
        <v>3</v>
      </c>
      <c r="Q17" s="7">
        <v>2.7</v>
      </c>
      <c r="R17" s="7">
        <f t="shared" si="2"/>
        <v>8.1000000000000014</v>
      </c>
      <c r="S17" s="7">
        <v>0</v>
      </c>
      <c r="T17" s="7"/>
      <c r="U17" s="11">
        <f t="shared" si="3"/>
        <v>8.1000000000000014</v>
      </c>
      <c r="V17" s="44"/>
      <c r="W17" s="44"/>
      <c r="X17" s="44"/>
      <c r="Y17" s="44"/>
      <c r="AF17" s="1" t="s">
        <v>50</v>
      </c>
      <c r="AG17" s="36">
        <v>-0.5</v>
      </c>
      <c r="AH17" s="1"/>
      <c r="AI17" s="1"/>
      <c r="AJ17" s="1"/>
      <c r="AL17" s="15">
        <v>13</v>
      </c>
      <c r="AM17" s="41">
        <v>15</v>
      </c>
      <c r="AN17">
        <v>5</v>
      </c>
      <c r="AO17" s="15">
        <v>13</v>
      </c>
      <c r="AP17" s="41">
        <f t="shared" si="0"/>
        <v>24.680000000000003</v>
      </c>
      <c r="BE17" s="22"/>
    </row>
    <row r="18" spans="3:57" ht="15" thickBot="1" x14ac:dyDescent="0.35">
      <c r="C18" s="2"/>
      <c r="D18" s="2"/>
      <c r="G18" s="22"/>
      <c r="N18" s="16">
        <v>4</v>
      </c>
      <c r="O18" s="131"/>
      <c r="P18" s="18">
        <f t="shared" si="1"/>
        <v>4</v>
      </c>
      <c r="Q18" s="18">
        <v>2.7</v>
      </c>
      <c r="R18" s="18">
        <f t="shared" si="2"/>
        <v>10.8</v>
      </c>
      <c r="S18" s="18">
        <v>0</v>
      </c>
      <c r="T18" s="18">
        <v>0</v>
      </c>
      <c r="U18" s="26">
        <f t="shared" si="3"/>
        <v>10.8</v>
      </c>
      <c r="V18" s="44"/>
      <c r="W18" s="44"/>
      <c r="X18" s="44"/>
      <c r="Y18" s="44"/>
      <c r="AF18" s="1" t="s">
        <v>51</v>
      </c>
      <c r="AG18" s="36">
        <v>-0.5</v>
      </c>
      <c r="AH18" s="1"/>
      <c r="AI18" s="1"/>
      <c r="AJ18" s="1"/>
      <c r="AL18" s="15">
        <v>14</v>
      </c>
      <c r="AM18" s="41">
        <v>16</v>
      </c>
      <c r="AN18">
        <v>6</v>
      </c>
      <c r="AO18" s="15">
        <v>14</v>
      </c>
      <c r="AP18" s="41">
        <f t="shared" si="0"/>
        <v>25.680000000000003</v>
      </c>
      <c r="BE18" s="22"/>
    </row>
    <row r="19" spans="3:57" ht="15" thickBot="1" x14ac:dyDescent="0.35">
      <c r="C19" s="2"/>
      <c r="D19" s="2"/>
      <c r="G19" s="22"/>
      <c r="AF19" s="1"/>
      <c r="AG19" s="1"/>
      <c r="AH19" s="1"/>
      <c r="AI19" s="1"/>
      <c r="AJ19" s="1"/>
      <c r="AL19" s="15">
        <v>15</v>
      </c>
      <c r="AM19" s="41">
        <v>18</v>
      </c>
      <c r="AN19">
        <v>7</v>
      </c>
      <c r="AO19" s="15">
        <v>15</v>
      </c>
      <c r="AP19" s="41">
        <f t="shared" si="0"/>
        <v>27.680000000000003</v>
      </c>
      <c r="BE19" s="22"/>
    </row>
    <row r="20" spans="3:57" ht="15" thickBot="1" x14ac:dyDescent="0.35">
      <c r="C20" s="2"/>
      <c r="D20" s="4"/>
      <c r="E20" s="5"/>
      <c r="F20" s="5"/>
      <c r="G20" s="6"/>
      <c r="N20" s="126" t="s">
        <v>52</v>
      </c>
      <c r="O20" s="127"/>
      <c r="P20" s="127"/>
      <c r="Q20" s="127"/>
      <c r="R20" s="127"/>
      <c r="S20" s="127"/>
      <c r="T20" s="127"/>
      <c r="U20" s="128"/>
      <c r="V20" s="44"/>
      <c r="W20" s="44"/>
      <c r="X20" s="44"/>
      <c r="Y20" s="44"/>
      <c r="AL20" s="15">
        <v>16</v>
      </c>
      <c r="AM20" s="41">
        <v>19</v>
      </c>
      <c r="AN20">
        <v>8</v>
      </c>
      <c r="AO20" s="15">
        <v>16</v>
      </c>
      <c r="AP20" s="41">
        <f t="shared" si="0"/>
        <v>28.680000000000003</v>
      </c>
      <c r="BE20" s="22"/>
    </row>
    <row r="21" spans="3:57" x14ac:dyDescent="0.3">
      <c r="C21" s="2"/>
      <c r="N21" s="15" t="s">
        <v>44</v>
      </c>
      <c r="O21" s="7" t="s">
        <v>8</v>
      </c>
      <c r="P21" s="7" t="s">
        <v>9</v>
      </c>
      <c r="Q21" s="7" t="s">
        <v>10</v>
      </c>
      <c r="R21" s="7" t="s">
        <v>11</v>
      </c>
      <c r="S21" s="7" t="s">
        <v>12</v>
      </c>
      <c r="T21" s="7" t="s">
        <v>13</v>
      </c>
      <c r="U21" s="11" t="s">
        <v>14</v>
      </c>
      <c r="V21" s="44"/>
      <c r="W21" s="44"/>
      <c r="X21" s="44"/>
      <c r="Y21" s="44"/>
      <c r="AL21" s="15">
        <v>17</v>
      </c>
      <c r="AM21" s="41">
        <v>20</v>
      </c>
      <c r="AN21">
        <v>9</v>
      </c>
      <c r="AO21" s="15">
        <v>17</v>
      </c>
      <c r="AP21" s="41">
        <f t="shared" si="0"/>
        <v>29.680000000000007</v>
      </c>
      <c r="BE21" s="22"/>
    </row>
    <row r="22" spans="3:57" ht="15" thickBot="1" x14ac:dyDescent="0.35">
      <c r="C22" s="2"/>
      <c r="N22" s="15">
        <v>7</v>
      </c>
      <c r="O22" s="132" t="s">
        <v>53</v>
      </c>
      <c r="P22" s="7">
        <f>N22</f>
        <v>7</v>
      </c>
      <c r="Q22" s="7">
        <v>2.7</v>
      </c>
      <c r="R22" s="7">
        <f>P22*Q22</f>
        <v>18.900000000000002</v>
      </c>
      <c r="S22" s="7">
        <v>2</v>
      </c>
      <c r="T22" s="7">
        <f>AD5*S22</f>
        <v>6</v>
      </c>
      <c r="U22" s="11">
        <f>R22-T22</f>
        <v>12.900000000000002</v>
      </c>
      <c r="V22" s="44"/>
      <c r="W22" s="44"/>
      <c r="X22" s="44"/>
      <c r="Y22" s="44"/>
      <c r="AL22" s="16">
        <v>18</v>
      </c>
      <c r="AM22" s="42">
        <v>21</v>
      </c>
      <c r="AN22">
        <v>10</v>
      </c>
      <c r="AO22" s="16">
        <v>18</v>
      </c>
      <c r="AP22" s="41">
        <f t="shared" si="0"/>
        <v>30.680000000000007</v>
      </c>
      <c r="BE22" s="22"/>
    </row>
    <row r="23" spans="3:57" x14ac:dyDescent="0.3">
      <c r="C23" s="2"/>
      <c r="D23" s="134"/>
      <c r="E23" s="134"/>
      <c r="N23" s="15">
        <v>7</v>
      </c>
      <c r="O23" s="132"/>
      <c r="P23" s="7">
        <f>N23</f>
        <v>7</v>
      </c>
      <c r="Q23" s="7">
        <v>2.7</v>
      </c>
      <c r="R23" s="7">
        <f>P23*Q23</f>
        <v>18.900000000000002</v>
      </c>
      <c r="S23" s="37">
        <v>2</v>
      </c>
      <c r="T23" s="7">
        <f>AD5*S23</f>
        <v>6</v>
      </c>
      <c r="U23" s="11">
        <f>R23-T23</f>
        <v>12.900000000000002</v>
      </c>
      <c r="V23" s="44"/>
      <c r="W23" s="44"/>
      <c r="X23" s="44"/>
      <c r="Y23" s="44"/>
      <c r="BE23" s="22"/>
    </row>
    <row r="24" spans="3:57" x14ac:dyDescent="0.3">
      <c r="C24" s="2"/>
      <c r="D24" s="134"/>
      <c r="E24" s="134"/>
      <c r="N24" s="15">
        <v>3</v>
      </c>
      <c r="O24" s="132"/>
      <c r="P24" s="7">
        <f>N24</f>
        <v>3</v>
      </c>
      <c r="Q24" s="7">
        <v>2.7</v>
      </c>
      <c r="R24" s="7">
        <f>P24*Q24</f>
        <v>8.1000000000000014</v>
      </c>
      <c r="S24" s="37">
        <v>1</v>
      </c>
      <c r="T24" s="7">
        <f>S24*AD5</f>
        <v>3</v>
      </c>
      <c r="U24" s="11">
        <f>R24-T24</f>
        <v>5.1000000000000014</v>
      </c>
      <c r="V24" s="44"/>
      <c r="W24" s="44"/>
      <c r="X24" s="44"/>
      <c r="Y24" s="44"/>
      <c r="BE24" s="22"/>
    </row>
    <row r="25" spans="3:57" ht="15" thickBot="1" x14ac:dyDescent="0.35">
      <c r="C25" s="2"/>
      <c r="N25" s="16">
        <v>5</v>
      </c>
      <c r="O25" s="133"/>
      <c r="P25" s="18">
        <f>N25</f>
        <v>5</v>
      </c>
      <c r="Q25" s="18">
        <v>2.7</v>
      </c>
      <c r="R25" s="18">
        <f>P25*Q25</f>
        <v>13.5</v>
      </c>
      <c r="S25" s="38">
        <v>1</v>
      </c>
      <c r="T25" s="18">
        <f>S25*AD6</f>
        <v>4.5</v>
      </c>
      <c r="U25" s="26">
        <f>R25-T25</f>
        <v>9</v>
      </c>
      <c r="V25" s="44"/>
      <c r="W25" s="44"/>
      <c r="X25" s="44"/>
      <c r="Y25" s="44"/>
      <c r="BE25" s="22"/>
    </row>
    <row r="26" spans="3:57" ht="15" thickBot="1" x14ac:dyDescent="0.35">
      <c r="C26" s="2"/>
      <c r="BE26" s="22"/>
    </row>
    <row r="27" spans="3:57" x14ac:dyDescent="0.3">
      <c r="C27" s="2"/>
      <c r="N27" s="119" t="s">
        <v>54</v>
      </c>
      <c r="O27" s="121"/>
      <c r="P27" s="121"/>
      <c r="Q27" s="121"/>
      <c r="R27" s="121"/>
      <c r="S27" s="121"/>
      <c r="T27" s="121"/>
      <c r="U27" s="122"/>
      <c r="V27" s="44"/>
      <c r="W27" s="44"/>
      <c r="X27" s="44"/>
      <c r="Y27" s="44"/>
      <c r="BE27" s="22"/>
    </row>
    <row r="28" spans="3:57" x14ac:dyDescent="0.3">
      <c r="C28" s="2"/>
      <c r="N28" s="15" t="s">
        <v>44</v>
      </c>
      <c r="O28" s="7" t="s">
        <v>8</v>
      </c>
      <c r="P28" s="7" t="s">
        <v>9</v>
      </c>
      <c r="Q28" s="7" t="s">
        <v>10</v>
      </c>
      <c r="R28" s="7" t="s">
        <v>11</v>
      </c>
      <c r="S28" s="7" t="s">
        <v>12</v>
      </c>
      <c r="T28" s="7" t="s">
        <v>13</v>
      </c>
      <c r="U28" s="11" t="s">
        <v>14</v>
      </c>
      <c r="V28" s="44"/>
      <c r="W28" s="44"/>
      <c r="X28" s="44"/>
      <c r="Y28" s="44"/>
      <c r="BE28" s="22"/>
    </row>
    <row r="29" spans="3:57" x14ac:dyDescent="0.3">
      <c r="C29" s="2"/>
      <c r="N29" s="15">
        <v>8</v>
      </c>
      <c r="O29" s="132" t="s">
        <v>36</v>
      </c>
      <c r="P29" s="7">
        <f>N29</f>
        <v>8</v>
      </c>
      <c r="Q29" s="7">
        <v>2.7</v>
      </c>
      <c r="R29" s="7">
        <f>P29*Q29</f>
        <v>21.6</v>
      </c>
      <c r="S29" s="7"/>
      <c r="T29" s="7">
        <f>AD12*S29</f>
        <v>0</v>
      </c>
      <c r="U29" s="11">
        <f>R29-T29</f>
        <v>21.6</v>
      </c>
      <c r="V29" s="44"/>
      <c r="W29" s="44"/>
      <c r="X29" s="44"/>
      <c r="Y29" s="44"/>
      <c r="BE29" s="22"/>
    </row>
    <row r="30" spans="3:57" x14ac:dyDescent="0.3">
      <c r="C30" s="2"/>
      <c r="N30" s="15">
        <v>3</v>
      </c>
      <c r="O30" s="132"/>
      <c r="P30" s="7">
        <f t="shared" ref="P30:P32" si="4">N30</f>
        <v>3</v>
      </c>
      <c r="Q30" s="7">
        <v>2.7</v>
      </c>
      <c r="R30" s="7">
        <f t="shared" ref="R30:R32" si="5">P30*Q30</f>
        <v>8.1000000000000014</v>
      </c>
      <c r="S30" s="37"/>
      <c r="T30" s="7">
        <f>AD12*S30</f>
        <v>0</v>
      </c>
      <c r="U30" s="11">
        <f t="shared" ref="U30:U32" si="6">R30-T30</f>
        <v>8.1000000000000014</v>
      </c>
      <c r="V30" s="44"/>
      <c r="W30" s="44"/>
      <c r="X30" s="44"/>
      <c r="Y30" s="44"/>
      <c r="BE30" s="22"/>
    </row>
    <row r="31" spans="3:57" x14ac:dyDescent="0.3">
      <c r="C31" s="2"/>
      <c r="N31" s="15">
        <v>3</v>
      </c>
      <c r="O31" s="132"/>
      <c r="P31" s="7">
        <f t="shared" si="4"/>
        <v>3</v>
      </c>
      <c r="Q31" s="7">
        <v>2.7</v>
      </c>
      <c r="R31" s="7">
        <f t="shared" si="5"/>
        <v>8.1000000000000014</v>
      </c>
      <c r="S31" s="37"/>
      <c r="T31" s="7">
        <f>S31*AD12</f>
        <v>0</v>
      </c>
      <c r="U31" s="11">
        <f t="shared" si="6"/>
        <v>8.1000000000000014</v>
      </c>
      <c r="V31" s="44"/>
      <c r="W31" s="44"/>
      <c r="X31" s="44"/>
      <c r="Y31" s="44"/>
      <c r="BE31" s="22"/>
    </row>
    <row r="32" spans="3:57" ht="15" thickBot="1" x14ac:dyDescent="0.35">
      <c r="C32" s="2"/>
      <c r="N32" s="16">
        <v>8</v>
      </c>
      <c r="O32" s="133"/>
      <c r="P32" s="18">
        <f t="shared" si="4"/>
        <v>8</v>
      </c>
      <c r="Q32" s="18">
        <v>2.7</v>
      </c>
      <c r="R32" s="18">
        <f t="shared" si="5"/>
        <v>21.6</v>
      </c>
      <c r="S32" s="38">
        <v>2</v>
      </c>
      <c r="T32" s="18">
        <f>S32*AD6</f>
        <v>9</v>
      </c>
      <c r="U32" s="26">
        <f t="shared" si="6"/>
        <v>12.600000000000001</v>
      </c>
      <c r="V32" s="44"/>
      <c r="W32" s="44"/>
      <c r="X32" s="44"/>
      <c r="Y32" s="44"/>
      <c r="BE32" s="22"/>
    </row>
    <row r="33" spans="2:59" ht="15" thickBot="1" x14ac:dyDescent="0.35">
      <c r="C33" s="2"/>
      <c r="BE33" s="22"/>
    </row>
    <row r="34" spans="2:59" x14ac:dyDescent="0.3">
      <c r="C34" s="2"/>
      <c r="N34" s="119" t="s">
        <v>55</v>
      </c>
      <c r="O34" s="121"/>
      <c r="P34" s="121"/>
      <c r="Q34" s="121"/>
      <c r="R34" s="121"/>
      <c r="S34" s="121"/>
      <c r="T34" s="121"/>
      <c r="U34" s="122"/>
      <c r="V34" s="44"/>
      <c r="W34" s="44"/>
      <c r="X34" s="44"/>
      <c r="Y34" s="44"/>
      <c r="BE34" s="22"/>
    </row>
    <row r="35" spans="2:59" x14ac:dyDescent="0.3">
      <c r="C35" s="2"/>
      <c r="N35" s="15" t="s">
        <v>44</v>
      </c>
      <c r="O35" s="7" t="s">
        <v>8</v>
      </c>
      <c r="P35" s="7" t="s">
        <v>9</v>
      </c>
      <c r="Q35" s="7" t="s">
        <v>10</v>
      </c>
      <c r="R35" s="7" t="s">
        <v>11</v>
      </c>
      <c r="S35" s="7" t="s">
        <v>12</v>
      </c>
      <c r="T35" s="7" t="s">
        <v>13</v>
      </c>
      <c r="U35" s="11" t="s">
        <v>14</v>
      </c>
      <c r="V35" s="44"/>
      <c r="W35" s="44"/>
      <c r="X35" s="44"/>
      <c r="Y35" s="44"/>
      <c r="BE35" s="22"/>
    </row>
    <row r="36" spans="2:59" x14ac:dyDescent="0.3">
      <c r="C36" s="2"/>
      <c r="N36" s="15">
        <v>5</v>
      </c>
      <c r="O36" s="132" t="s">
        <v>38</v>
      </c>
      <c r="P36" s="7">
        <f>N36</f>
        <v>5</v>
      </c>
      <c r="Q36" s="7">
        <v>2.7</v>
      </c>
      <c r="R36" s="7">
        <f>P36*Q36</f>
        <v>13.5</v>
      </c>
      <c r="S36" s="7"/>
      <c r="T36" s="7">
        <f>AD19*S36</f>
        <v>0</v>
      </c>
      <c r="U36" s="11">
        <f>R36-T36</f>
        <v>13.5</v>
      </c>
      <c r="V36" s="44"/>
      <c r="W36" s="44"/>
      <c r="X36" s="44"/>
      <c r="Y36" s="44"/>
      <c r="BE36" s="22"/>
    </row>
    <row r="37" spans="2:59" x14ac:dyDescent="0.3">
      <c r="C37" s="2"/>
      <c r="N37" s="15">
        <v>3</v>
      </c>
      <c r="O37" s="132"/>
      <c r="P37" s="7">
        <f t="shared" ref="P37:P39" si="7">N37</f>
        <v>3</v>
      </c>
      <c r="Q37" s="7">
        <v>2.7</v>
      </c>
      <c r="R37" s="7">
        <f t="shared" ref="R37:R39" si="8">P37*Q37</f>
        <v>8.1000000000000014</v>
      </c>
      <c r="S37" s="37">
        <v>1</v>
      </c>
      <c r="T37" s="7">
        <f>AD5*S37</f>
        <v>3</v>
      </c>
      <c r="U37" s="11">
        <f t="shared" ref="U37:U39" si="9">R37-T37</f>
        <v>5.1000000000000014</v>
      </c>
      <c r="V37" s="44"/>
      <c r="W37" s="44"/>
      <c r="X37" s="44"/>
      <c r="Y37" s="44"/>
      <c r="BE37" s="22"/>
    </row>
    <row r="38" spans="2:59" x14ac:dyDescent="0.3">
      <c r="C38" s="2"/>
      <c r="N38" s="15">
        <v>2</v>
      </c>
      <c r="O38" s="132"/>
      <c r="P38" s="7">
        <f t="shared" si="7"/>
        <v>2</v>
      </c>
      <c r="Q38" s="7">
        <v>2.7</v>
      </c>
      <c r="R38" s="7">
        <f t="shared" si="8"/>
        <v>5.4</v>
      </c>
      <c r="S38" s="37"/>
      <c r="T38" s="7">
        <f>S38*AD19</f>
        <v>0</v>
      </c>
      <c r="U38" s="11">
        <f t="shared" si="9"/>
        <v>5.4</v>
      </c>
      <c r="V38" s="44"/>
      <c r="W38" s="44"/>
      <c r="X38" s="44"/>
      <c r="Y38" s="44"/>
      <c r="BE38" s="22"/>
    </row>
    <row r="39" spans="2:59" ht="15" thickBot="1" x14ac:dyDescent="0.35">
      <c r="C39" s="2"/>
      <c r="N39" s="16">
        <v>4</v>
      </c>
      <c r="O39" s="133"/>
      <c r="P39" s="18">
        <f t="shared" si="7"/>
        <v>4</v>
      </c>
      <c r="Q39" s="18">
        <v>2.7</v>
      </c>
      <c r="R39" s="18">
        <f t="shared" si="8"/>
        <v>10.8</v>
      </c>
      <c r="S39" s="39"/>
      <c r="T39" s="18">
        <f>S39*AD13</f>
        <v>0</v>
      </c>
      <c r="U39" s="26">
        <f t="shared" si="9"/>
        <v>10.8</v>
      </c>
      <c r="V39" s="44"/>
      <c r="W39" s="44"/>
      <c r="X39" s="44"/>
      <c r="Y39" s="44"/>
      <c r="BE39" s="22"/>
    </row>
    <row r="40" spans="2:59" ht="15" thickBot="1" x14ac:dyDescent="0.35"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6"/>
    </row>
    <row r="41" spans="2:59" ht="15" thickBot="1" x14ac:dyDescent="0.35"/>
    <row r="42" spans="2:59" ht="15" thickBot="1" x14ac:dyDescent="0.35">
      <c r="B42" s="19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Z42" t="s">
        <v>57</v>
      </c>
      <c r="BC42" s="1" t="s">
        <v>56</v>
      </c>
      <c r="BD42" s="1"/>
      <c r="BE42" s="1"/>
      <c r="BF42" s="1"/>
      <c r="BG42" s="1"/>
    </row>
    <row r="43" spans="2:59" ht="15" thickBot="1" x14ac:dyDescent="0.35">
      <c r="B43" s="2"/>
      <c r="Y43" s="118" t="s">
        <v>264</v>
      </c>
      <c r="Z43" s="118"/>
      <c r="AC43" s="40" t="s">
        <v>56</v>
      </c>
      <c r="AD43" s="48"/>
      <c r="AE43" s="48"/>
      <c r="AF43" s="46"/>
      <c r="AH43" s="40" t="s">
        <v>57</v>
      </c>
      <c r="AI43" s="46" t="s">
        <v>58</v>
      </c>
      <c r="AK43" s="40" t="s">
        <v>59</v>
      </c>
      <c r="AL43" s="46" t="s">
        <v>58</v>
      </c>
      <c r="AN43" s="40" t="s">
        <v>60</v>
      </c>
      <c r="AO43" s="46" t="s">
        <v>58</v>
      </c>
      <c r="AQ43" s="40" t="s">
        <v>61</v>
      </c>
      <c r="AR43" s="46" t="s">
        <v>58</v>
      </c>
      <c r="AT43" s="40" t="s">
        <v>62</v>
      </c>
      <c r="AU43" s="46" t="s">
        <v>58</v>
      </c>
      <c r="AZ43" t="s">
        <v>59</v>
      </c>
      <c r="BC43" s="1"/>
      <c r="BD43" s="1" t="s">
        <v>64</v>
      </c>
      <c r="BE43" s="1" t="s">
        <v>65</v>
      </c>
      <c r="BF43" s="1" t="s">
        <v>66</v>
      </c>
      <c r="BG43" s="1" t="s">
        <v>205</v>
      </c>
    </row>
    <row r="44" spans="2:59" x14ac:dyDescent="0.3">
      <c r="B44" s="2"/>
      <c r="C44" s="135" t="s">
        <v>63</v>
      </c>
      <c r="D44" s="136"/>
      <c r="E44" s="137"/>
      <c r="G44" s="135" t="s">
        <v>63</v>
      </c>
      <c r="H44" s="136"/>
      <c r="I44" s="137"/>
      <c r="K44" s="135" t="s">
        <v>63</v>
      </c>
      <c r="L44" s="136"/>
      <c r="M44" s="137"/>
      <c r="O44" s="135" t="s">
        <v>63</v>
      </c>
      <c r="P44" s="136"/>
      <c r="Q44" s="137"/>
      <c r="S44" s="135" t="s">
        <v>63</v>
      </c>
      <c r="T44" s="136"/>
      <c r="U44" s="137"/>
      <c r="V44" s="73"/>
      <c r="W44" s="73"/>
      <c r="Y44" s="7" t="s">
        <v>67</v>
      </c>
      <c r="Z44" s="1" t="s">
        <v>58</v>
      </c>
      <c r="AC44" s="43"/>
      <c r="AD44" s="1" t="s">
        <v>64</v>
      </c>
      <c r="AE44" s="1" t="s">
        <v>65</v>
      </c>
      <c r="AF44" s="41" t="s">
        <v>66</v>
      </c>
      <c r="AH44" s="43">
        <v>8</v>
      </c>
      <c r="AI44" s="41">
        <f t="shared" ref="AI44:AI54" si="10">$E$11*$AF$45*AP12</f>
        <v>526.20260000000007</v>
      </c>
      <c r="AK44" s="43">
        <v>8</v>
      </c>
      <c r="AL44" s="41">
        <f>$E$11*$AF$46*AP12</f>
        <v>135.30924000000002</v>
      </c>
      <c r="AN44" s="43">
        <v>8</v>
      </c>
      <c r="AO44" s="41">
        <f>$E$11*$AF$47*AP12</f>
        <v>481.09952000000004</v>
      </c>
      <c r="AQ44" s="43">
        <v>8</v>
      </c>
      <c r="AR44" s="41">
        <f>$E$11*$AF$48*AP12</f>
        <v>526.20260000000007</v>
      </c>
      <c r="AT44" s="43">
        <v>8</v>
      </c>
      <c r="AU44" s="41">
        <f>$E$11*$AF$49*AP12</f>
        <v>180.41232000000002</v>
      </c>
      <c r="AZ44" t="s">
        <v>60</v>
      </c>
      <c r="BC44" s="1" t="s">
        <v>57</v>
      </c>
      <c r="BD44" s="1">
        <v>5</v>
      </c>
      <c r="BE44" s="1">
        <v>7</v>
      </c>
      <c r="BF44" s="1">
        <f>BD44*BE44</f>
        <v>35</v>
      </c>
      <c r="BG44" s="1">
        <f>AI54</f>
        <v>780.65260000000023</v>
      </c>
    </row>
    <row r="45" spans="2:59" x14ac:dyDescent="0.3">
      <c r="B45" s="2"/>
      <c r="C45" s="43" t="s">
        <v>44</v>
      </c>
      <c r="D45" s="7" t="s">
        <v>67</v>
      </c>
      <c r="E45" s="41" t="s">
        <v>58</v>
      </c>
      <c r="G45" s="43" t="s">
        <v>44</v>
      </c>
      <c r="H45" s="7" t="s">
        <v>67</v>
      </c>
      <c r="I45" s="41" t="s">
        <v>58</v>
      </c>
      <c r="K45" s="43" t="s">
        <v>44</v>
      </c>
      <c r="L45" s="7" t="s">
        <v>67</v>
      </c>
      <c r="M45" s="41" t="s">
        <v>58</v>
      </c>
      <c r="O45" s="43" t="s">
        <v>44</v>
      </c>
      <c r="P45" s="7" t="s">
        <v>67</v>
      </c>
      <c r="Q45" s="41" t="s">
        <v>58</v>
      </c>
      <c r="S45" s="43" t="s">
        <v>44</v>
      </c>
      <c r="T45" s="7" t="s">
        <v>67</v>
      </c>
      <c r="U45" s="41" t="s">
        <v>58</v>
      </c>
      <c r="X45" s="8" t="s">
        <v>264</v>
      </c>
      <c r="Y45" s="7">
        <v>8</v>
      </c>
      <c r="Z45" s="1">
        <f t="shared" ref="Z45:Z55" si="11">E46+I46+M46+Q46+U46</f>
        <v>147.22280000000015</v>
      </c>
      <c r="AC45" s="43" t="s">
        <v>57</v>
      </c>
      <c r="AD45" s="1">
        <v>5</v>
      </c>
      <c r="AE45" s="1">
        <v>7</v>
      </c>
      <c r="AF45" s="41">
        <f>AD45*AE45</f>
        <v>35</v>
      </c>
      <c r="AH45" s="43">
        <v>9</v>
      </c>
      <c r="AI45" s="41">
        <f t="shared" si="10"/>
        <v>526.20260000000007</v>
      </c>
      <c r="AK45" s="43">
        <v>9</v>
      </c>
      <c r="AL45" s="41">
        <f t="shared" ref="AL45:AL54" si="12">$E$11*$AF$46*AP13</f>
        <v>135.30924000000002</v>
      </c>
      <c r="AN45" s="43">
        <v>9</v>
      </c>
      <c r="AO45" s="41">
        <f t="shared" ref="AO45:AO54" si="13">$E$11*$AF$47*AP13</f>
        <v>481.09952000000004</v>
      </c>
      <c r="AQ45" s="43">
        <v>9</v>
      </c>
      <c r="AR45" s="41">
        <f t="shared" ref="AR45:AR54" si="14">$E$11*$AF$48*AP13</f>
        <v>526.20260000000007</v>
      </c>
      <c r="AT45" s="43">
        <v>9</v>
      </c>
      <c r="AU45" s="41">
        <f t="shared" ref="AU45:AU54" si="15">$E$11*$AF$49*AP13</f>
        <v>180.41232000000002</v>
      </c>
      <c r="AZ45" t="s">
        <v>61</v>
      </c>
      <c r="BC45" s="1" t="s">
        <v>59</v>
      </c>
      <c r="BD45" s="1">
        <v>3</v>
      </c>
      <c r="BE45" s="1">
        <v>3</v>
      </c>
      <c r="BF45" s="1">
        <f t="shared" ref="BF45:BF53" si="16">BD45*BE45</f>
        <v>9</v>
      </c>
      <c r="BG45" s="1">
        <f>AL54</f>
        <v>200.73924000000005</v>
      </c>
    </row>
    <row r="46" spans="2:59" x14ac:dyDescent="0.3">
      <c r="B46" s="2"/>
      <c r="C46" s="138">
        <v>5</v>
      </c>
      <c r="D46" s="7">
        <v>8</v>
      </c>
      <c r="E46" s="41">
        <v>46.322000000000003</v>
      </c>
      <c r="G46" s="138">
        <v>2</v>
      </c>
      <c r="H46" s="7">
        <v>8</v>
      </c>
      <c r="I46" s="41">
        <f>$E$9*$U$15*AU5</f>
        <v>18.532800000000027</v>
      </c>
      <c r="K46" s="138">
        <v>3</v>
      </c>
      <c r="L46" s="7">
        <v>8</v>
      </c>
      <c r="M46" s="41">
        <f>$E$9*$U$16*AU5</f>
        <v>17.503200000000028</v>
      </c>
      <c r="O46" s="138">
        <v>3</v>
      </c>
      <c r="P46" s="7">
        <v>8</v>
      </c>
      <c r="Q46" s="41">
        <f>$E$9*$U$17*AU5</f>
        <v>27.799200000000042</v>
      </c>
      <c r="S46" s="138">
        <v>4</v>
      </c>
      <c r="T46" s="7">
        <v>8</v>
      </c>
      <c r="U46" s="41">
        <f>$E$9*$U$18*AU5</f>
        <v>37.065600000000053</v>
      </c>
      <c r="X46" s="8"/>
      <c r="Y46" s="7">
        <v>9</v>
      </c>
      <c r="Z46" s="1">
        <f t="shared" si="11"/>
        <v>147.2328000000002</v>
      </c>
      <c r="AC46" s="43" t="s">
        <v>59</v>
      </c>
      <c r="AD46" s="1">
        <v>3</v>
      </c>
      <c r="AE46" s="1">
        <v>3</v>
      </c>
      <c r="AF46" s="41">
        <f t="shared" ref="AF46:AF54" si="17">AD46*AE46</f>
        <v>9</v>
      </c>
      <c r="AH46" s="43">
        <v>10</v>
      </c>
      <c r="AI46" s="41">
        <f t="shared" si="10"/>
        <v>526.20260000000007</v>
      </c>
      <c r="AK46" s="43">
        <v>10</v>
      </c>
      <c r="AL46" s="41">
        <f t="shared" si="12"/>
        <v>135.30924000000002</v>
      </c>
      <c r="AN46" s="43">
        <v>10</v>
      </c>
      <c r="AO46" s="41">
        <f t="shared" si="13"/>
        <v>481.09952000000004</v>
      </c>
      <c r="AQ46" s="43">
        <v>10</v>
      </c>
      <c r="AR46" s="41">
        <f t="shared" si="14"/>
        <v>526.20260000000007</v>
      </c>
      <c r="AT46" s="43">
        <v>10</v>
      </c>
      <c r="AU46" s="41">
        <f t="shared" si="15"/>
        <v>180.41232000000002</v>
      </c>
      <c r="AZ46" t="s">
        <v>268</v>
      </c>
      <c r="BC46" s="1" t="s">
        <v>60</v>
      </c>
      <c r="BD46" s="1">
        <v>4</v>
      </c>
      <c r="BE46" s="1">
        <v>8</v>
      </c>
      <c r="BF46" s="1">
        <f t="shared" si="16"/>
        <v>32</v>
      </c>
      <c r="BG46" s="1">
        <f>AO54</f>
        <v>713.73952000000008</v>
      </c>
    </row>
    <row r="47" spans="2:59" x14ac:dyDescent="0.3">
      <c r="B47" s="2"/>
      <c r="C47" s="138"/>
      <c r="D47" s="7">
        <v>9</v>
      </c>
      <c r="E47" s="41">
        <f t="shared" ref="E47:E56" si="18">$E$9*$U$14*AU6</f>
        <v>46.332000000000065</v>
      </c>
      <c r="G47" s="138"/>
      <c r="H47" s="7">
        <v>9</v>
      </c>
      <c r="I47" s="41">
        <f t="shared" ref="I47:I56" si="19">$E$9*$U$15*AU6</f>
        <v>18.532800000000027</v>
      </c>
      <c r="K47" s="138"/>
      <c r="L47" s="7">
        <v>9</v>
      </c>
      <c r="M47" s="41">
        <f t="shared" ref="M47:M56" si="20">$E$9*$U$16*AU6</f>
        <v>17.503200000000028</v>
      </c>
      <c r="O47" s="138"/>
      <c r="P47" s="7">
        <v>9</v>
      </c>
      <c r="Q47" s="41">
        <f t="shared" ref="Q47:Q56" si="21">$E$9*$U$17*AU6</f>
        <v>27.799200000000042</v>
      </c>
      <c r="S47" s="138"/>
      <c r="T47" s="7">
        <v>9</v>
      </c>
      <c r="U47" s="41">
        <f t="shared" ref="U47:U56" si="22">$E$9*$U$18*AU6</f>
        <v>37.065600000000053</v>
      </c>
      <c r="X47" s="8"/>
      <c r="Y47" s="7">
        <v>10</v>
      </c>
      <c r="Z47" s="1">
        <f t="shared" si="11"/>
        <v>147.2328000000002</v>
      </c>
      <c r="AC47" s="43" t="s">
        <v>60</v>
      </c>
      <c r="AD47" s="1">
        <v>4</v>
      </c>
      <c r="AE47" s="1">
        <v>8</v>
      </c>
      <c r="AF47" s="41">
        <f t="shared" si="17"/>
        <v>32</v>
      </c>
      <c r="AH47" s="43">
        <v>11</v>
      </c>
      <c r="AI47" s="41">
        <f t="shared" si="10"/>
        <v>551.64760000000012</v>
      </c>
      <c r="AK47" s="43">
        <v>11</v>
      </c>
      <c r="AL47" s="41">
        <f t="shared" si="12"/>
        <v>141.85224000000002</v>
      </c>
      <c r="AN47" s="43">
        <v>11</v>
      </c>
      <c r="AO47" s="41">
        <f t="shared" si="13"/>
        <v>504.36352000000005</v>
      </c>
      <c r="AQ47" s="43">
        <v>11</v>
      </c>
      <c r="AR47" s="41">
        <f t="shared" si="14"/>
        <v>551.64760000000012</v>
      </c>
      <c r="AT47" s="43">
        <v>11</v>
      </c>
      <c r="AU47" s="41">
        <f t="shared" si="15"/>
        <v>189.13632000000004</v>
      </c>
      <c r="AZ47" t="s">
        <v>68</v>
      </c>
      <c r="BC47" s="1" t="s">
        <v>61</v>
      </c>
      <c r="BD47" s="1">
        <v>5</v>
      </c>
      <c r="BE47" s="1">
        <v>7</v>
      </c>
      <c r="BF47" s="1">
        <f t="shared" si="16"/>
        <v>35</v>
      </c>
      <c r="BG47" s="1">
        <f>AR54</f>
        <v>780.65260000000023</v>
      </c>
    </row>
    <row r="48" spans="2:59" x14ac:dyDescent="0.3">
      <c r="B48" s="2"/>
      <c r="C48" s="138"/>
      <c r="D48" s="7">
        <v>10</v>
      </c>
      <c r="E48" s="41">
        <f t="shared" si="18"/>
        <v>46.332000000000065</v>
      </c>
      <c r="G48" s="138"/>
      <c r="H48" s="7">
        <v>10</v>
      </c>
      <c r="I48" s="41">
        <f t="shared" si="19"/>
        <v>18.532800000000027</v>
      </c>
      <c r="K48" s="138"/>
      <c r="L48" s="7">
        <v>10</v>
      </c>
      <c r="M48" s="41">
        <f t="shared" si="20"/>
        <v>17.503200000000028</v>
      </c>
      <c r="O48" s="138"/>
      <c r="P48" s="7">
        <v>10</v>
      </c>
      <c r="Q48" s="41">
        <f t="shared" si="21"/>
        <v>27.799200000000042</v>
      </c>
      <c r="S48" s="138"/>
      <c r="T48" s="7">
        <v>10</v>
      </c>
      <c r="U48" s="41">
        <f t="shared" si="22"/>
        <v>37.065600000000053</v>
      </c>
      <c r="X48" s="8"/>
      <c r="Y48" s="7">
        <v>11</v>
      </c>
      <c r="Z48" s="1">
        <f t="shared" si="11"/>
        <v>147.2328000000002</v>
      </c>
      <c r="AC48" s="43" t="s">
        <v>61</v>
      </c>
      <c r="AD48" s="1">
        <v>5</v>
      </c>
      <c r="AE48" s="1">
        <v>7</v>
      </c>
      <c r="AF48" s="41">
        <f t="shared" si="17"/>
        <v>35</v>
      </c>
      <c r="AH48" s="43">
        <v>12</v>
      </c>
      <c r="AI48" s="41">
        <f t="shared" si="10"/>
        <v>577.09260000000006</v>
      </c>
      <c r="AK48" s="43">
        <v>12</v>
      </c>
      <c r="AL48" s="41">
        <f t="shared" si="12"/>
        <v>148.39524000000003</v>
      </c>
      <c r="AN48" s="43">
        <v>12</v>
      </c>
      <c r="AO48" s="41">
        <f t="shared" si="13"/>
        <v>527.62752000000012</v>
      </c>
      <c r="AQ48" s="43">
        <v>12</v>
      </c>
      <c r="AR48" s="41">
        <f t="shared" si="14"/>
        <v>577.09260000000006</v>
      </c>
      <c r="AT48" s="43">
        <v>12</v>
      </c>
      <c r="AU48" s="41">
        <f t="shared" si="15"/>
        <v>197.86032000000003</v>
      </c>
      <c r="AZ48" t="s">
        <v>69</v>
      </c>
      <c r="BC48" s="1" t="s">
        <v>62</v>
      </c>
      <c r="BD48" s="1">
        <v>4</v>
      </c>
      <c r="BE48" s="1">
        <v>3</v>
      </c>
      <c r="BF48" s="1">
        <f t="shared" si="16"/>
        <v>12</v>
      </c>
      <c r="BG48" s="1">
        <f>AU54</f>
        <v>267.65232000000009</v>
      </c>
    </row>
    <row r="49" spans="2:59" x14ac:dyDescent="0.3">
      <c r="B49" s="2"/>
      <c r="C49" s="138"/>
      <c r="D49" s="7">
        <v>11</v>
      </c>
      <c r="E49" s="41">
        <f t="shared" si="18"/>
        <v>46.332000000000065</v>
      </c>
      <c r="G49" s="138"/>
      <c r="H49" s="7">
        <v>11</v>
      </c>
      <c r="I49" s="41">
        <f t="shared" si="19"/>
        <v>18.532800000000027</v>
      </c>
      <c r="K49" s="138"/>
      <c r="L49" s="7">
        <v>11</v>
      </c>
      <c r="M49" s="41">
        <f t="shared" si="20"/>
        <v>17.503200000000028</v>
      </c>
      <c r="O49" s="138"/>
      <c r="P49" s="7">
        <v>11</v>
      </c>
      <c r="Q49" s="41">
        <f t="shared" si="21"/>
        <v>27.799200000000042</v>
      </c>
      <c r="S49" s="138"/>
      <c r="T49" s="7">
        <v>11</v>
      </c>
      <c r="U49" s="41">
        <f t="shared" si="22"/>
        <v>37.065600000000053</v>
      </c>
      <c r="X49" s="8"/>
      <c r="Y49" s="7">
        <v>12</v>
      </c>
      <c r="Z49" s="1">
        <f t="shared" si="11"/>
        <v>147.2328000000002</v>
      </c>
      <c r="AC49" s="43" t="s">
        <v>62</v>
      </c>
      <c r="AD49" s="1">
        <v>4</v>
      </c>
      <c r="AE49" s="1">
        <v>3</v>
      </c>
      <c r="AF49" s="41">
        <f t="shared" si="17"/>
        <v>12</v>
      </c>
      <c r="AH49" s="43">
        <v>13</v>
      </c>
      <c r="AI49" s="41">
        <f t="shared" si="10"/>
        <v>627.98260000000005</v>
      </c>
      <c r="AK49" s="43">
        <v>13</v>
      </c>
      <c r="AL49" s="41">
        <f t="shared" si="12"/>
        <v>161.48124000000001</v>
      </c>
      <c r="AN49" s="43">
        <v>13</v>
      </c>
      <c r="AO49" s="41">
        <f t="shared" si="13"/>
        <v>574.15552000000002</v>
      </c>
      <c r="AQ49" s="43">
        <v>13</v>
      </c>
      <c r="AR49" s="41">
        <f t="shared" si="14"/>
        <v>627.98260000000005</v>
      </c>
      <c r="AT49" s="43">
        <v>13</v>
      </c>
      <c r="AU49" s="41">
        <f t="shared" si="15"/>
        <v>215.30832000000004</v>
      </c>
      <c r="AZ49" t="s">
        <v>70</v>
      </c>
      <c r="BC49" s="1" t="s">
        <v>68</v>
      </c>
      <c r="BD49" s="1">
        <v>5</v>
      </c>
      <c r="BE49" s="1">
        <v>3</v>
      </c>
      <c r="BF49" s="1">
        <f t="shared" si="16"/>
        <v>15</v>
      </c>
      <c r="BG49" s="1">
        <f>AI67</f>
        <v>334.56540000000007</v>
      </c>
    </row>
    <row r="50" spans="2:59" x14ac:dyDescent="0.3">
      <c r="B50" s="2"/>
      <c r="C50" s="138"/>
      <c r="D50" s="7">
        <v>12</v>
      </c>
      <c r="E50" s="41">
        <f t="shared" si="18"/>
        <v>46.332000000000065</v>
      </c>
      <c r="G50" s="138"/>
      <c r="H50" s="7">
        <v>12</v>
      </c>
      <c r="I50" s="41">
        <f t="shared" si="19"/>
        <v>18.532800000000027</v>
      </c>
      <c r="K50" s="138"/>
      <c r="L50" s="7">
        <v>12</v>
      </c>
      <c r="M50" s="41">
        <f t="shared" si="20"/>
        <v>17.503200000000028</v>
      </c>
      <c r="O50" s="138"/>
      <c r="P50" s="7">
        <v>12</v>
      </c>
      <c r="Q50" s="41">
        <f t="shared" si="21"/>
        <v>27.799200000000042</v>
      </c>
      <c r="S50" s="138"/>
      <c r="T50" s="7">
        <v>12</v>
      </c>
      <c r="U50" s="41">
        <f t="shared" si="22"/>
        <v>37.065600000000053</v>
      </c>
      <c r="X50" s="8"/>
      <c r="Y50" s="7">
        <v>13</v>
      </c>
      <c r="Z50" s="1">
        <f t="shared" si="11"/>
        <v>214.15680000000023</v>
      </c>
      <c r="AC50" s="43" t="s">
        <v>68</v>
      </c>
      <c r="AD50" s="1">
        <v>5</v>
      </c>
      <c r="AE50" s="1">
        <v>3</v>
      </c>
      <c r="AF50" s="41">
        <f t="shared" si="17"/>
        <v>15</v>
      </c>
      <c r="AH50" s="43">
        <v>14</v>
      </c>
      <c r="AI50" s="41">
        <f t="shared" si="10"/>
        <v>653.4276000000001</v>
      </c>
      <c r="AK50" s="43">
        <v>14</v>
      </c>
      <c r="AL50" s="41">
        <f t="shared" si="12"/>
        <v>168.02424000000002</v>
      </c>
      <c r="AN50" s="43">
        <v>14</v>
      </c>
      <c r="AO50" s="41">
        <f t="shared" si="13"/>
        <v>597.41952000000003</v>
      </c>
      <c r="AQ50" s="43">
        <v>14</v>
      </c>
      <c r="AR50" s="41">
        <f t="shared" si="14"/>
        <v>653.4276000000001</v>
      </c>
      <c r="AT50" s="43">
        <v>14</v>
      </c>
      <c r="AU50" s="41">
        <f t="shared" si="15"/>
        <v>224.03232000000003</v>
      </c>
      <c r="AZ50" t="s">
        <v>71</v>
      </c>
      <c r="BC50" s="1" t="s">
        <v>69</v>
      </c>
      <c r="BD50" s="1">
        <v>4</v>
      </c>
      <c r="BE50" s="1">
        <v>3</v>
      </c>
      <c r="BF50" s="1">
        <f t="shared" si="16"/>
        <v>12</v>
      </c>
      <c r="BG50" s="1">
        <f>AL67</f>
        <v>267.65232000000009</v>
      </c>
    </row>
    <row r="51" spans="2:59" x14ac:dyDescent="0.3">
      <c r="B51" s="2"/>
      <c r="C51" s="138"/>
      <c r="D51" s="7">
        <v>13</v>
      </c>
      <c r="E51" s="41">
        <f t="shared" si="18"/>
        <v>67.392000000000067</v>
      </c>
      <c r="G51" s="138"/>
      <c r="H51" s="7">
        <v>13</v>
      </c>
      <c r="I51" s="41">
        <f t="shared" si="19"/>
        <v>26.95680000000003</v>
      </c>
      <c r="K51" s="138"/>
      <c r="L51" s="7">
        <v>13</v>
      </c>
      <c r="M51" s="41">
        <f t="shared" si="20"/>
        <v>25.459200000000031</v>
      </c>
      <c r="O51" s="138"/>
      <c r="P51" s="7">
        <v>13</v>
      </c>
      <c r="Q51" s="41">
        <f t="shared" si="21"/>
        <v>40.435200000000044</v>
      </c>
      <c r="S51" s="138"/>
      <c r="T51" s="7">
        <v>13</v>
      </c>
      <c r="U51" s="41">
        <f t="shared" si="22"/>
        <v>53.913600000000059</v>
      </c>
      <c r="X51" s="8"/>
      <c r="Y51" s="7">
        <v>14</v>
      </c>
      <c r="Z51" s="1">
        <f t="shared" si="11"/>
        <v>214.15680000000023</v>
      </c>
      <c r="AC51" s="43" t="s">
        <v>69</v>
      </c>
      <c r="AD51" s="1">
        <v>4</v>
      </c>
      <c r="AE51" s="1">
        <v>3</v>
      </c>
      <c r="AF51" s="41">
        <f t="shared" si="17"/>
        <v>12</v>
      </c>
      <c r="AH51" s="43">
        <v>15</v>
      </c>
      <c r="AI51" s="41">
        <f t="shared" si="10"/>
        <v>704.31760000000008</v>
      </c>
      <c r="AK51" s="43">
        <v>15</v>
      </c>
      <c r="AL51" s="41">
        <f t="shared" si="12"/>
        <v>181.11024000000003</v>
      </c>
      <c r="AN51" s="43">
        <v>15</v>
      </c>
      <c r="AO51" s="41">
        <f t="shared" si="13"/>
        <v>643.94752000000005</v>
      </c>
      <c r="AQ51" s="43">
        <v>15</v>
      </c>
      <c r="AR51" s="41">
        <f t="shared" si="14"/>
        <v>704.31760000000008</v>
      </c>
      <c r="AT51" s="43">
        <v>15</v>
      </c>
      <c r="AU51" s="41">
        <f t="shared" si="15"/>
        <v>241.48032000000003</v>
      </c>
      <c r="AZ51" t="s">
        <v>72</v>
      </c>
      <c r="BC51" s="1" t="s">
        <v>70</v>
      </c>
      <c r="BD51" s="1">
        <v>5</v>
      </c>
      <c r="BE51" s="1">
        <v>5</v>
      </c>
      <c r="BF51" s="1">
        <f t="shared" si="16"/>
        <v>25</v>
      </c>
      <c r="BG51" s="1">
        <f>AO67</f>
        <v>557.60900000000015</v>
      </c>
    </row>
    <row r="52" spans="2:59" x14ac:dyDescent="0.3">
      <c r="B52" s="2"/>
      <c r="C52" s="138"/>
      <c r="D52" s="7">
        <v>14</v>
      </c>
      <c r="E52" s="41">
        <f t="shared" si="18"/>
        <v>67.392000000000067</v>
      </c>
      <c r="G52" s="138"/>
      <c r="H52" s="7">
        <v>14</v>
      </c>
      <c r="I52" s="41">
        <f t="shared" si="19"/>
        <v>26.95680000000003</v>
      </c>
      <c r="K52" s="138"/>
      <c r="L52" s="7">
        <v>14</v>
      </c>
      <c r="M52" s="41">
        <f t="shared" si="20"/>
        <v>25.459200000000031</v>
      </c>
      <c r="O52" s="138"/>
      <c r="P52" s="7">
        <v>14</v>
      </c>
      <c r="Q52" s="41">
        <f t="shared" si="21"/>
        <v>40.435200000000044</v>
      </c>
      <c r="S52" s="138"/>
      <c r="T52" s="7">
        <v>14</v>
      </c>
      <c r="U52" s="41">
        <f t="shared" si="22"/>
        <v>53.913600000000059</v>
      </c>
      <c r="X52" s="8"/>
      <c r="Y52" s="7">
        <v>15</v>
      </c>
      <c r="Z52" s="1">
        <f t="shared" si="11"/>
        <v>281.08080000000024</v>
      </c>
      <c r="AC52" s="43" t="s">
        <v>70</v>
      </c>
      <c r="AD52" s="1">
        <v>5</v>
      </c>
      <c r="AE52" s="1">
        <v>5</v>
      </c>
      <c r="AF52" s="41">
        <f t="shared" si="17"/>
        <v>25</v>
      </c>
      <c r="AH52" s="43">
        <v>16</v>
      </c>
      <c r="AI52" s="41">
        <f t="shared" si="10"/>
        <v>729.76260000000013</v>
      </c>
      <c r="AK52" s="43">
        <v>16</v>
      </c>
      <c r="AL52" s="41">
        <f t="shared" si="12"/>
        <v>187.65324000000004</v>
      </c>
      <c r="AN52" s="43">
        <v>16</v>
      </c>
      <c r="AO52" s="41">
        <f t="shared" si="13"/>
        <v>667.21152000000006</v>
      </c>
      <c r="AQ52" s="43">
        <v>16</v>
      </c>
      <c r="AR52" s="41">
        <f t="shared" si="14"/>
        <v>729.76260000000013</v>
      </c>
      <c r="AT52" s="43">
        <v>16</v>
      </c>
      <c r="AU52" s="41">
        <f t="shared" si="15"/>
        <v>250.20432000000002</v>
      </c>
      <c r="AZ52" t="s">
        <v>203</v>
      </c>
      <c r="BC52" s="1" t="s">
        <v>71</v>
      </c>
      <c r="BD52" s="1">
        <v>3</v>
      </c>
      <c r="BE52" s="1">
        <v>3</v>
      </c>
      <c r="BF52" s="1">
        <f t="shared" si="16"/>
        <v>9</v>
      </c>
      <c r="BG52" s="1">
        <f>AR67</f>
        <v>200.73924000000005</v>
      </c>
    </row>
    <row r="53" spans="2:59" x14ac:dyDescent="0.3">
      <c r="B53" s="2"/>
      <c r="C53" s="138"/>
      <c r="D53" s="7">
        <v>15</v>
      </c>
      <c r="E53" s="41">
        <f t="shared" si="18"/>
        <v>88.452000000000069</v>
      </c>
      <c r="G53" s="138"/>
      <c r="H53" s="7">
        <v>15</v>
      </c>
      <c r="I53" s="41">
        <f t="shared" si="19"/>
        <v>35.380800000000029</v>
      </c>
      <c r="K53" s="138"/>
      <c r="L53" s="7">
        <v>15</v>
      </c>
      <c r="M53" s="41">
        <f t="shared" si="20"/>
        <v>33.415200000000034</v>
      </c>
      <c r="O53" s="138"/>
      <c r="P53" s="7">
        <v>15</v>
      </c>
      <c r="Q53" s="41">
        <f t="shared" si="21"/>
        <v>53.071200000000047</v>
      </c>
      <c r="S53" s="138"/>
      <c r="T53" s="7">
        <v>15</v>
      </c>
      <c r="U53" s="41">
        <f t="shared" si="22"/>
        <v>70.761600000000058</v>
      </c>
      <c r="X53" s="8"/>
      <c r="Y53" s="7">
        <v>16</v>
      </c>
      <c r="Z53" s="1">
        <f t="shared" si="11"/>
        <v>281.08080000000024</v>
      </c>
      <c r="AC53" s="43" t="s">
        <v>71</v>
      </c>
      <c r="AD53" s="1">
        <v>3</v>
      </c>
      <c r="AE53" s="1">
        <v>3</v>
      </c>
      <c r="AF53" s="41">
        <f t="shared" si="17"/>
        <v>9</v>
      </c>
      <c r="AH53" s="43">
        <v>17</v>
      </c>
      <c r="AI53" s="41">
        <f t="shared" si="10"/>
        <v>755.20760000000018</v>
      </c>
      <c r="AK53" s="43">
        <v>17</v>
      </c>
      <c r="AL53" s="41">
        <f t="shared" si="12"/>
        <v>194.19624000000005</v>
      </c>
      <c r="AN53" s="43">
        <v>17</v>
      </c>
      <c r="AO53" s="41">
        <f t="shared" si="13"/>
        <v>690.47552000000019</v>
      </c>
      <c r="AQ53" s="43">
        <v>17</v>
      </c>
      <c r="AR53" s="41">
        <f t="shared" si="14"/>
        <v>755.20760000000018</v>
      </c>
      <c r="AT53" s="43">
        <v>17</v>
      </c>
      <c r="AU53" s="41">
        <f t="shared" si="15"/>
        <v>258.92832000000004</v>
      </c>
      <c r="BC53" s="1" t="s">
        <v>72</v>
      </c>
      <c r="BD53" s="1">
        <v>4</v>
      </c>
      <c r="BE53" s="1">
        <v>8</v>
      </c>
      <c r="BF53" s="1">
        <f t="shared" si="16"/>
        <v>32</v>
      </c>
      <c r="BG53" s="1">
        <f>AU67</f>
        <v>713.73952000000008</v>
      </c>
    </row>
    <row r="54" spans="2:59" ht="15" thickBot="1" x14ac:dyDescent="0.35">
      <c r="B54" s="2"/>
      <c r="C54" s="138"/>
      <c r="D54" s="7">
        <v>16</v>
      </c>
      <c r="E54" s="41">
        <f t="shared" si="18"/>
        <v>88.452000000000069</v>
      </c>
      <c r="G54" s="138"/>
      <c r="H54" s="7">
        <v>16</v>
      </c>
      <c r="I54" s="41">
        <f t="shared" si="19"/>
        <v>35.380800000000029</v>
      </c>
      <c r="K54" s="138"/>
      <c r="L54" s="7">
        <v>16</v>
      </c>
      <c r="M54" s="41">
        <f t="shared" si="20"/>
        <v>33.415200000000034</v>
      </c>
      <c r="O54" s="138"/>
      <c r="P54" s="7">
        <v>16</v>
      </c>
      <c r="Q54" s="41">
        <f t="shared" si="21"/>
        <v>53.071200000000047</v>
      </c>
      <c r="S54" s="138"/>
      <c r="T54" s="7">
        <v>16</v>
      </c>
      <c r="U54" s="41">
        <f t="shared" si="22"/>
        <v>70.761600000000058</v>
      </c>
      <c r="X54" s="8"/>
      <c r="Y54" s="7">
        <v>17</v>
      </c>
      <c r="Z54" s="1">
        <f t="shared" si="11"/>
        <v>348.00480000000027</v>
      </c>
      <c r="AC54" s="47" t="s">
        <v>72</v>
      </c>
      <c r="AD54" s="49">
        <v>4</v>
      </c>
      <c r="AE54" s="49">
        <v>8</v>
      </c>
      <c r="AF54" s="42">
        <f t="shared" si="17"/>
        <v>32</v>
      </c>
      <c r="AH54" s="47">
        <v>18</v>
      </c>
      <c r="AI54" s="42">
        <f t="shared" si="10"/>
        <v>780.65260000000023</v>
      </c>
      <c r="AK54" s="47">
        <v>18</v>
      </c>
      <c r="AL54" s="41">
        <f t="shared" si="12"/>
        <v>200.73924000000005</v>
      </c>
      <c r="AN54" s="47">
        <v>18</v>
      </c>
      <c r="AO54" s="41">
        <f t="shared" si="13"/>
        <v>713.73952000000008</v>
      </c>
      <c r="AQ54" s="47">
        <v>18</v>
      </c>
      <c r="AR54" s="41">
        <f t="shared" si="14"/>
        <v>780.65260000000023</v>
      </c>
      <c r="AT54" s="47">
        <v>18</v>
      </c>
      <c r="AU54" s="41">
        <f t="shared" si="15"/>
        <v>267.65232000000009</v>
      </c>
      <c r="BC54" s="1" t="s">
        <v>203</v>
      </c>
      <c r="BD54" s="1">
        <v>23</v>
      </c>
      <c r="BE54" s="1">
        <v>20</v>
      </c>
      <c r="BF54" s="1">
        <f>BD54*BE54</f>
        <v>460</v>
      </c>
      <c r="BG54" s="1">
        <f>AX67</f>
        <v>10260.005600000002</v>
      </c>
    </row>
    <row r="55" spans="2:59" ht="15" thickBot="1" x14ac:dyDescent="0.35">
      <c r="B55" s="2"/>
      <c r="C55" s="138"/>
      <c r="D55" s="7">
        <v>17</v>
      </c>
      <c r="E55" s="41">
        <f t="shared" si="18"/>
        <v>109.51200000000007</v>
      </c>
      <c r="G55" s="138"/>
      <c r="H55" s="7">
        <v>17</v>
      </c>
      <c r="I55" s="41">
        <f t="shared" si="19"/>
        <v>43.804800000000029</v>
      </c>
      <c r="K55" s="138"/>
      <c r="L55" s="7">
        <v>17</v>
      </c>
      <c r="M55" s="41">
        <f t="shared" si="20"/>
        <v>41.371200000000037</v>
      </c>
      <c r="O55" s="138"/>
      <c r="P55" s="7">
        <v>17</v>
      </c>
      <c r="Q55" s="41">
        <f t="shared" si="21"/>
        <v>65.707200000000057</v>
      </c>
      <c r="S55" s="138"/>
      <c r="T55" s="7">
        <v>17</v>
      </c>
      <c r="U55" s="41">
        <f t="shared" si="22"/>
        <v>87.609600000000057</v>
      </c>
      <c r="X55" s="8"/>
      <c r="Y55" s="7">
        <v>18</v>
      </c>
      <c r="Z55" s="1">
        <f t="shared" si="11"/>
        <v>414.92880000000025</v>
      </c>
      <c r="AC55" s="67" t="s">
        <v>203</v>
      </c>
      <c r="AD55" s="68">
        <v>23</v>
      </c>
      <c r="AE55" s="68">
        <v>20</v>
      </c>
      <c r="AF55" s="66">
        <f>AD55*AE55</f>
        <v>460</v>
      </c>
      <c r="AI55" s="66">
        <f>MAX(AI44:AI54)</f>
        <v>780.65260000000023</v>
      </c>
    </row>
    <row r="56" spans="2:59" ht="15" thickBot="1" x14ac:dyDescent="0.35">
      <c r="B56" s="2"/>
      <c r="C56" s="139"/>
      <c r="D56" s="18">
        <v>18</v>
      </c>
      <c r="E56" s="42">
        <f t="shared" si="18"/>
        <v>130.57200000000009</v>
      </c>
      <c r="G56" s="139"/>
      <c r="H56" s="18">
        <v>18</v>
      </c>
      <c r="I56" s="42">
        <f t="shared" si="19"/>
        <v>52.228800000000035</v>
      </c>
      <c r="K56" s="139"/>
      <c r="L56" s="18">
        <v>18</v>
      </c>
      <c r="M56" s="42">
        <f t="shared" si="20"/>
        <v>49.327200000000033</v>
      </c>
      <c r="O56" s="139"/>
      <c r="P56" s="18">
        <v>18</v>
      </c>
      <c r="Q56" s="42">
        <f t="shared" si="21"/>
        <v>78.343200000000053</v>
      </c>
      <c r="S56" s="139"/>
      <c r="T56" s="18">
        <v>18</v>
      </c>
      <c r="U56" s="42">
        <f t="shared" si="22"/>
        <v>104.45760000000007</v>
      </c>
      <c r="X56" s="44"/>
      <c r="AH56" s="40" t="s">
        <v>68</v>
      </c>
      <c r="AI56" s="46" t="s">
        <v>58</v>
      </c>
      <c r="AK56" s="40" t="s">
        <v>69</v>
      </c>
      <c r="AL56" s="46" t="s">
        <v>58</v>
      </c>
      <c r="AN56" s="40" t="s">
        <v>70</v>
      </c>
      <c r="AO56" s="46" t="s">
        <v>58</v>
      </c>
      <c r="AQ56" s="40" t="s">
        <v>71</v>
      </c>
      <c r="AR56" s="46" t="s">
        <v>58</v>
      </c>
      <c r="AT56" s="40" t="s">
        <v>72</v>
      </c>
      <c r="AU56" s="46" t="s">
        <v>58</v>
      </c>
      <c r="AW56" s="40" t="s">
        <v>203</v>
      </c>
      <c r="AX56" s="46" t="s">
        <v>58</v>
      </c>
    </row>
    <row r="57" spans="2:59" ht="15" thickBot="1" x14ac:dyDescent="0.35">
      <c r="B57" s="2"/>
      <c r="E57" s="66"/>
      <c r="Y57" s="104" t="s">
        <v>267</v>
      </c>
      <c r="Z57" s="104"/>
      <c r="AH57" s="43">
        <v>8</v>
      </c>
      <c r="AI57" s="41">
        <f>$E$11*$AF$50*AP12</f>
        <v>225.51540000000003</v>
      </c>
      <c r="AK57" s="43">
        <v>8</v>
      </c>
      <c r="AL57" s="41">
        <f>$E$11*$AF$51*AP12</f>
        <v>180.41232000000002</v>
      </c>
      <c r="AN57" s="43">
        <v>8</v>
      </c>
      <c r="AO57" s="41">
        <f>$E$11*$AF$52*AP12</f>
        <v>375.85900000000009</v>
      </c>
      <c r="AQ57" s="43">
        <v>8</v>
      </c>
      <c r="AR57" s="41">
        <f>$E$11*$AF$53*AP12</f>
        <v>135.30924000000002</v>
      </c>
      <c r="AT57" s="43">
        <v>8</v>
      </c>
      <c r="AU57" s="41">
        <f>$E$11*$AF$54*AP12</f>
        <v>481.09952000000004</v>
      </c>
      <c r="AW57" s="43">
        <v>8</v>
      </c>
      <c r="AX57" s="41">
        <f>$AF$55*AP12*$E$11</f>
        <v>6915.8056000000006</v>
      </c>
    </row>
    <row r="58" spans="2:59" x14ac:dyDescent="0.3">
      <c r="B58" s="2"/>
      <c r="C58" s="135" t="s">
        <v>73</v>
      </c>
      <c r="D58" s="136"/>
      <c r="E58" s="137"/>
      <c r="G58" s="135" t="s">
        <v>73</v>
      </c>
      <c r="H58" s="136"/>
      <c r="I58" s="137"/>
      <c r="K58" s="135" t="s">
        <v>73</v>
      </c>
      <c r="L58" s="136"/>
      <c r="M58" s="137"/>
      <c r="O58" s="135" t="s">
        <v>73</v>
      </c>
      <c r="P58" s="136"/>
      <c r="Q58" s="137"/>
      <c r="X58" s="129" t="s">
        <v>267</v>
      </c>
      <c r="Y58" s="7" t="s">
        <v>67</v>
      </c>
      <c r="Z58" s="1" t="s">
        <v>58</v>
      </c>
      <c r="AH58" s="43">
        <v>9</v>
      </c>
      <c r="AI58" s="41">
        <f t="shared" ref="AI58:AI67" si="23">$E$11*$AF$50*AP13</f>
        <v>225.51540000000003</v>
      </c>
      <c r="AK58" s="43">
        <v>9</v>
      </c>
      <c r="AL58" s="41">
        <f t="shared" ref="AL58:AL67" si="24">$E$11*$AF$51*AP13</f>
        <v>180.41232000000002</v>
      </c>
      <c r="AN58" s="43">
        <v>9</v>
      </c>
      <c r="AO58" s="41">
        <f t="shared" ref="AO58:AO67" si="25">$E$11*$AF$52*AP13</f>
        <v>375.85900000000009</v>
      </c>
      <c r="AQ58" s="43">
        <v>9</v>
      </c>
      <c r="AR58" s="41">
        <f t="shared" ref="AR58:AR67" si="26">$E$11*$AF$53*AP13</f>
        <v>135.30924000000002</v>
      </c>
      <c r="AT58" s="43">
        <v>9</v>
      </c>
      <c r="AU58" s="41">
        <f t="shared" ref="AU58:AU67" si="27">$E$11*$AF$54*AP13</f>
        <v>481.09952000000004</v>
      </c>
      <c r="AW58" s="43">
        <v>9</v>
      </c>
      <c r="AX58" s="41">
        <f t="shared" ref="AX58:AX67" si="28">$AF$55*AP13*$E$11</f>
        <v>6915.8056000000006</v>
      </c>
    </row>
    <row r="59" spans="2:59" x14ac:dyDescent="0.3">
      <c r="B59" s="2"/>
      <c r="C59" s="43" t="s">
        <v>44</v>
      </c>
      <c r="D59" s="7" t="s">
        <v>67</v>
      </c>
      <c r="E59" s="41" t="s">
        <v>58</v>
      </c>
      <c r="G59" s="43" t="s">
        <v>44</v>
      </c>
      <c r="H59" s="7" t="s">
        <v>67</v>
      </c>
      <c r="I59" s="41" t="s">
        <v>58</v>
      </c>
      <c r="K59" s="43" t="s">
        <v>44</v>
      </c>
      <c r="L59" s="7" t="s">
        <v>67</v>
      </c>
      <c r="M59" s="41" t="s">
        <v>58</v>
      </c>
      <c r="O59" s="43" t="s">
        <v>44</v>
      </c>
      <c r="P59" s="7" t="s">
        <v>67</v>
      </c>
      <c r="Q59" s="41" t="s">
        <v>58</v>
      </c>
      <c r="X59" s="130"/>
      <c r="Y59" s="7">
        <v>8</v>
      </c>
      <c r="Z59" s="1">
        <f>E60+I60+M60+Q60</f>
        <v>323.66880000000026</v>
      </c>
      <c r="AH59" s="43">
        <v>10</v>
      </c>
      <c r="AI59" s="41">
        <f t="shared" si="23"/>
        <v>225.51540000000003</v>
      </c>
      <c r="AK59" s="43">
        <v>10</v>
      </c>
      <c r="AL59" s="41">
        <f t="shared" si="24"/>
        <v>180.41232000000002</v>
      </c>
      <c r="AN59" s="43">
        <v>10</v>
      </c>
      <c r="AO59" s="41">
        <f t="shared" si="25"/>
        <v>375.85900000000009</v>
      </c>
      <c r="AQ59" s="43">
        <v>10</v>
      </c>
      <c r="AR59" s="41">
        <f t="shared" si="26"/>
        <v>135.30924000000002</v>
      </c>
      <c r="AT59" s="43">
        <v>10</v>
      </c>
      <c r="AU59" s="41">
        <f t="shared" si="27"/>
        <v>481.09952000000004</v>
      </c>
      <c r="AW59" s="43">
        <v>10</v>
      </c>
      <c r="AX59" s="41">
        <f t="shared" si="28"/>
        <v>6915.8056000000006</v>
      </c>
    </row>
    <row r="60" spans="2:59" x14ac:dyDescent="0.3">
      <c r="B60" s="2"/>
      <c r="C60" s="138">
        <v>7</v>
      </c>
      <c r="D60" s="7">
        <v>8</v>
      </c>
      <c r="E60" s="41">
        <f>$E$9*$U$22*AX5</f>
        <v>104.64480000000007</v>
      </c>
      <c r="G60" s="138">
        <v>7</v>
      </c>
      <c r="H60" s="7">
        <v>8</v>
      </c>
      <c r="I60" s="41">
        <f>$E$9*$U$23*AX5</f>
        <v>104.64480000000007</v>
      </c>
      <c r="K60" s="138">
        <v>3</v>
      </c>
      <c r="L60" s="7">
        <v>8</v>
      </c>
      <c r="M60" s="41">
        <f>$E$9*$U$24*AX5</f>
        <v>41.371200000000037</v>
      </c>
      <c r="O60" s="138">
        <v>5</v>
      </c>
      <c r="P60" s="7">
        <v>8</v>
      </c>
      <c r="Q60" s="41">
        <f>$E$9*$U$25*AX5</f>
        <v>73.008000000000038</v>
      </c>
      <c r="X60" s="130"/>
      <c r="Y60" s="7">
        <v>9</v>
      </c>
      <c r="Z60" s="1">
        <f>E61+I61+M61+Q61</f>
        <v>385.91280000000023</v>
      </c>
      <c r="AH60" s="43">
        <v>11</v>
      </c>
      <c r="AI60" s="41">
        <f t="shared" si="23"/>
        <v>236.42040000000003</v>
      </c>
      <c r="AK60" s="43">
        <v>11</v>
      </c>
      <c r="AL60" s="41">
        <f t="shared" si="24"/>
        <v>189.13632000000004</v>
      </c>
      <c r="AN60" s="43">
        <v>11</v>
      </c>
      <c r="AO60" s="41">
        <f t="shared" si="25"/>
        <v>394.03400000000005</v>
      </c>
      <c r="AQ60" s="43">
        <v>11</v>
      </c>
      <c r="AR60" s="41">
        <f t="shared" si="26"/>
        <v>141.85224000000002</v>
      </c>
      <c r="AT60" s="43">
        <v>11</v>
      </c>
      <c r="AU60" s="41">
        <f t="shared" si="27"/>
        <v>504.36352000000005</v>
      </c>
      <c r="AW60" s="43">
        <v>11</v>
      </c>
      <c r="AX60" s="41">
        <f t="shared" si="28"/>
        <v>7250.2256000000007</v>
      </c>
    </row>
    <row r="61" spans="2:59" x14ac:dyDescent="0.3">
      <c r="B61" s="2"/>
      <c r="C61" s="138"/>
      <c r="D61" s="7">
        <v>9</v>
      </c>
      <c r="E61" s="41">
        <f t="shared" ref="E61:E70" si="29">$E$9*$U$22*AX6</f>
        <v>124.76880000000007</v>
      </c>
      <c r="G61" s="138"/>
      <c r="H61" s="7">
        <v>9</v>
      </c>
      <c r="I61" s="41">
        <f t="shared" ref="I61:I70" si="30">$E$9*$U$23*AX6</f>
        <v>124.76880000000007</v>
      </c>
      <c r="K61" s="138"/>
      <c r="L61" s="7">
        <v>9</v>
      </c>
      <c r="M61" s="41">
        <f t="shared" ref="M61:M70" si="31">$E$9*$U$24*AX6</f>
        <v>49.327200000000033</v>
      </c>
      <c r="O61" s="138"/>
      <c r="P61" s="7">
        <v>9</v>
      </c>
      <c r="Q61" s="41">
        <f t="shared" ref="Q61:Q70" si="32">$E$9*$U$25*AX6</f>
        <v>87.048000000000044</v>
      </c>
      <c r="X61" s="130"/>
      <c r="Y61" s="7">
        <v>10</v>
      </c>
      <c r="Z61" s="1">
        <f t="shared" ref="Z61:Z69" si="33">E62+I62+M62+Q62</f>
        <v>448.1568000000002</v>
      </c>
      <c r="AH61" s="43">
        <v>12</v>
      </c>
      <c r="AI61" s="41">
        <f t="shared" si="23"/>
        <v>247.32540000000003</v>
      </c>
      <c r="AK61" s="43">
        <v>12</v>
      </c>
      <c r="AL61" s="41">
        <f t="shared" si="24"/>
        <v>197.86032000000003</v>
      </c>
      <c r="AN61" s="43">
        <v>12</v>
      </c>
      <c r="AO61" s="41">
        <f t="shared" si="25"/>
        <v>412.20900000000006</v>
      </c>
      <c r="AQ61" s="43">
        <v>12</v>
      </c>
      <c r="AR61" s="41">
        <f t="shared" si="26"/>
        <v>148.39524000000003</v>
      </c>
      <c r="AT61" s="43">
        <v>12</v>
      </c>
      <c r="AU61" s="41">
        <f t="shared" si="27"/>
        <v>527.62752000000012</v>
      </c>
      <c r="AW61" s="43">
        <v>12</v>
      </c>
      <c r="AX61" s="41">
        <f t="shared" si="28"/>
        <v>7584.6456000000007</v>
      </c>
    </row>
    <row r="62" spans="2:59" x14ac:dyDescent="0.3">
      <c r="B62" s="2"/>
      <c r="C62" s="138"/>
      <c r="D62" s="7">
        <v>10</v>
      </c>
      <c r="E62" s="41">
        <f t="shared" si="29"/>
        <v>144.89280000000008</v>
      </c>
      <c r="G62" s="138"/>
      <c r="H62" s="7">
        <v>10</v>
      </c>
      <c r="I62" s="41">
        <f t="shared" si="30"/>
        <v>144.89280000000008</v>
      </c>
      <c r="K62" s="138"/>
      <c r="L62" s="7">
        <v>10</v>
      </c>
      <c r="M62" s="41">
        <f t="shared" si="31"/>
        <v>57.283200000000036</v>
      </c>
      <c r="O62" s="138"/>
      <c r="P62" s="7">
        <v>10</v>
      </c>
      <c r="Q62" s="41">
        <f t="shared" si="32"/>
        <v>101.08800000000005</v>
      </c>
      <c r="X62" s="130"/>
      <c r="Y62" s="7">
        <v>11</v>
      </c>
      <c r="Z62" s="1">
        <f t="shared" si="33"/>
        <v>572.64480000000026</v>
      </c>
      <c r="AH62" s="43">
        <v>13</v>
      </c>
      <c r="AI62" s="41">
        <f t="shared" si="23"/>
        <v>269.1354</v>
      </c>
      <c r="AK62" s="43">
        <v>13</v>
      </c>
      <c r="AL62" s="41">
        <f t="shared" si="24"/>
        <v>215.30832000000004</v>
      </c>
      <c r="AN62" s="43">
        <v>13</v>
      </c>
      <c r="AO62" s="41">
        <f t="shared" si="25"/>
        <v>448.55900000000008</v>
      </c>
      <c r="AQ62" s="43">
        <v>13</v>
      </c>
      <c r="AR62" s="41">
        <f t="shared" si="26"/>
        <v>161.48124000000001</v>
      </c>
      <c r="AT62" s="43">
        <v>13</v>
      </c>
      <c r="AU62" s="41">
        <f t="shared" si="27"/>
        <v>574.15552000000002</v>
      </c>
      <c r="AW62" s="43">
        <v>13</v>
      </c>
      <c r="AX62" s="41">
        <f t="shared" si="28"/>
        <v>8253.4856</v>
      </c>
    </row>
    <row r="63" spans="2:59" x14ac:dyDescent="0.3">
      <c r="B63" s="2"/>
      <c r="C63" s="138"/>
      <c r="D63" s="7">
        <v>11</v>
      </c>
      <c r="E63" s="41">
        <f t="shared" si="29"/>
        <v>185.14080000000007</v>
      </c>
      <c r="G63" s="138"/>
      <c r="H63" s="7">
        <v>11</v>
      </c>
      <c r="I63" s="41">
        <f t="shared" si="30"/>
        <v>185.14080000000007</v>
      </c>
      <c r="K63" s="138"/>
      <c r="L63" s="7">
        <v>11</v>
      </c>
      <c r="M63" s="41">
        <f t="shared" si="31"/>
        <v>73.195200000000042</v>
      </c>
      <c r="O63" s="138"/>
      <c r="P63" s="7">
        <v>11</v>
      </c>
      <c r="Q63" s="41">
        <f t="shared" si="32"/>
        <v>129.16800000000003</v>
      </c>
      <c r="X63" s="130"/>
      <c r="Y63" s="7">
        <v>12</v>
      </c>
      <c r="Z63" s="1">
        <f t="shared" si="33"/>
        <v>697.13280000000032</v>
      </c>
      <c r="AH63" s="43">
        <v>14</v>
      </c>
      <c r="AI63" s="41">
        <f t="shared" si="23"/>
        <v>280.04040000000003</v>
      </c>
      <c r="AK63" s="43">
        <v>14</v>
      </c>
      <c r="AL63" s="41">
        <f t="shared" si="24"/>
        <v>224.03232000000003</v>
      </c>
      <c r="AN63" s="43">
        <v>14</v>
      </c>
      <c r="AO63" s="41">
        <f t="shared" si="25"/>
        <v>466.73400000000009</v>
      </c>
      <c r="AQ63" s="43">
        <v>14</v>
      </c>
      <c r="AR63" s="41">
        <f t="shared" si="26"/>
        <v>168.02424000000002</v>
      </c>
      <c r="AT63" s="43">
        <v>14</v>
      </c>
      <c r="AU63" s="41">
        <f t="shared" si="27"/>
        <v>597.41952000000003</v>
      </c>
      <c r="AW63" s="43">
        <v>14</v>
      </c>
      <c r="AX63" s="41">
        <f t="shared" si="28"/>
        <v>8587.9056</v>
      </c>
    </row>
    <row r="64" spans="2:59" x14ac:dyDescent="0.3">
      <c r="B64" s="2"/>
      <c r="C64" s="138"/>
      <c r="D64" s="7">
        <v>12</v>
      </c>
      <c r="E64" s="41">
        <f t="shared" si="29"/>
        <v>225.38880000000009</v>
      </c>
      <c r="G64" s="138"/>
      <c r="H64" s="7">
        <v>12</v>
      </c>
      <c r="I64" s="41">
        <f t="shared" si="30"/>
        <v>225.38880000000009</v>
      </c>
      <c r="K64" s="138"/>
      <c r="L64" s="7">
        <v>12</v>
      </c>
      <c r="M64" s="41">
        <f t="shared" si="31"/>
        <v>89.107200000000049</v>
      </c>
      <c r="O64" s="138"/>
      <c r="P64" s="7">
        <v>12</v>
      </c>
      <c r="Q64" s="41">
        <f t="shared" si="32"/>
        <v>157.24800000000005</v>
      </c>
      <c r="X64" s="130"/>
      <c r="Y64" s="7">
        <v>13</v>
      </c>
      <c r="Z64" s="1">
        <f t="shared" si="33"/>
        <v>759.37680000000023</v>
      </c>
      <c r="AH64" s="43">
        <v>15</v>
      </c>
      <c r="AI64" s="41">
        <f t="shared" si="23"/>
        <v>301.85040000000004</v>
      </c>
      <c r="AK64" s="43">
        <v>15</v>
      </c>
      <c r="AL64" s="41">
        <f t="shared" si="24"/>
        <v>241.48032000000003</v>
      </c>
      <c r="AN64" s="43">
        <v>15</v>
      </c>
      <c r="AO64" s="41">
        <f t="shared" si="25"/>
        <v>503.08400000000006</v>
      </c>
      <c r="AQ64" s="43">
        <v>15</v>
      </c>
      <c r="AR64" s="41">
        <f t="shared" si="26"/>
        <v>181.11024000000003</v>
      </c>
      <c r="AT64" s="43">
        <v>15</v>
      </c>
      <c r="AU64" s="41">
        <f t="shared" si="27"/>
        <v>643.94752000000005</v>
      </c>
      <c r="AW64" s="43">
        <v>15</v>
      </c>
      <c r="AX64" s="41">
        <f t="shared" si="28"/>
        <v>9256.7456000000002</v>
      </c>
    </row>
    <row r="65" spans="2:50" x14ac:dyDescent="0.3">
      <c r="B65" s="2"/>
      <c r="C65" s="138"/>
      <c r="D65" s="7">
        <v>13</v>
      </c>
      <c r="E65" s="41">
        <f t="shared" si="29"/>
        <v>245.51280000000008</v>
      </c>
      <c r="G65" s="138"/>
      <c r="H65" s="7">
        <v>13</v>
      </c>
      <c r="I65" s="41">
        <f t="shared" si="30"/>
        <v>245.51280000000008</v>
      </c>
      <c r="K65" s="138"/>
      <c r="L65" s="7">
        <v>13</v>
      </c>
      <c r="M65" s="41">
        <f t="shared" si="31"/>
        <v>97.063200000000052</v>
      </c>
      <c r="O65" s="138"/>
      <c r="P65" s="7">
        <v>13</v>
      </c>
      <c r="Q65" s="41">
        <f t="shared" si="32"/>
        <v>171.28800000000004</v>
      </c>
      <c r="X65" s="130"/>
      <c r="Y65" s="7">
        <v>14</v>
      </c>
      <c r="Z65" s="1">
        <f t="shared" si="33"/>
        <v>821.62080000000037</v>
      </c>
      <c r="AH65" s="43">
        <v>16</v>
      </c>
      <c r="AI65" s="41">
        <f t="shared" si="23"/>
        <v>312.75540000000001</v>
      </c>
      <c r="AK65" s="43">
        <v>16</v>
      </c>
      <c r="AL65" s="41">
        <f t="shared" si="24"/>
        <v>250.20432000000002</v>
      </c>
      <c r="AN65" s="43">
        <v>16</v>
      </c>
      <c r="AO65" s="41">
        <f t="shared" si="25"/>
        <v>521.25900000000013</v>
      </c>
      <c r="AQ65" s="43">
        <v>16</v>
      </c>
      <c r="AR65" s="41">
        <f t="shared" si="26"/>
        <v>187.65324000000004</v>
      </c>
      <c r="AT65" s="43">
        <v>16</v>
      </c>
      <c r="AU65" s="41">
        <f t="shared" si="27"/>
        <v>667.21152000000006</v>
      </c>
      <c r="AW65" s="43">
        <v>16</v>
      </c>
      <c r="AX65" s="41">
        <f t="shared" si="28"/>
        <v>9591.1656000000003</v>
      </c>
    </row>
    <row r="66" spans="2:50" x14ac:dyDescent="0.3">
      <c r="B66" s="2"/>
      <c r="C66" s="138"/>
      <c r="D66" s="7">
        <v>14</v>
      </c>
      <c r="E66" s="41">
        <f t="shared" si="29"/>
        <v>265.63680000000011</v>
      </c>
      <c r="G66" s="138"/>
      <c r="H66" s="7">
        <v>14</v>
      </c>
      <c r="I66" s="41">
        <f t="shared" si="30"/>
        <v>265.63680000000011</v>
      </c>
      <c r="K66" s="138"/>
      <c r="L66" s="7">
        <v>14</v>
      </c>
      <c r="M66" s="41">
        <f t="shared" si="31"/>
        <v>105.01920000000005</v>
      </c>
      <c r="O66" s="138"/>
      <c r="P66" s="7">
        <v>14</v>
      </c>
      <c r="Q66" s="41">
        <f t="shared" si="32"/>
        <v>185.32800000000006</v>
      </c>
      <c r="X66" s="130"/>
      <c r="Y66" s="7">
        <v>15</v>
      </c>
      <c r="Z66" s="1">
        <f t="shared" si="33"/>
        <v>883.86480000000029</v>
      </c>
      <c r="AH66" s="43">
        <v>17</v>
      </c>
      <c r="AI66" s="41">
        <f t="shared" si="23"/>
        <v>323.66040000000004</v>
      </c>
      <c r="AK66" s="43">
        <v>17</v>
      </c>
      <c r="AL66" s="41">
        <f t="shared" si="24"/>
        <v>258.92832000000004</v>
      </c>
      <c r="AN66" s="43">
        <v>17</v>
      </c>
      <c r="AO66" s="41">
        <f t="shared" si="25"/>
        <v>539.4340000000002</v>
      </c>
      <c r="AQ66" s="43">
        <v>17</v>
      </c>
      <c r="AR66" s="41">
        <f t="shared" si="26"/>
        <v>194.19624000000005</v>
      </c>
      <c r="AT66" s="43">
        <v>17</v>
      </c>
      <c r="AU66" s="41">
        <f t="shared" si="27"/>
        <v>690.47552000000019</v>
      </c>
      <c r="AW66" s="43">
        <v>17</v>
      </c>
      <c r="AX66" s="41">
        <f t="shared" si="28"/>
        <v>9925.5856000000022</v>
      </c>
    </row>
    <row r="67" spans="2:50" ht="15" thickBot="1" x14ac:dyDescent="0.35">
      <c r="B67" s="2"/>
      <c r="C67" s="138"/>
      <c r="D67" s="7">
        <v>15</v>
      </c>
      <c r="E67" s="41">
        <f t="shared" si="29"/>
        <v>285.76080000000007</v>
      </c>
      <c r="G67" s="138"/>
      <c r="H67" s="7">
        <v>15</v>
      </c>
      <c r="I67" s="41">
        <f t="shared" si="30"/>
        <v>285.76080000000007</v>
      </c>
      <c r="K67" s="138"/>
      <c r="L67" s="7">
        <v>15</v>
      </c>
      <c r="M67" s="41">
        <f t="shared" si="31"/>
        <v>112.97520000000006</v>
      </c>
      <c r="O67" s="138"/>
      <c r="P67" s="7">
        <v>15</v>
      </c>
      <c r="Q67" s="41">
        <f t="shared" si="32"/>
        <v>199.36800000000005</v>
      </c>
      <c r="X67" s="130"/>
      <c r="Y67" s="7">
        <v>16</v>
      </c>
      <c r="Z67" s="1">
        <f t="shared" si="33"/>
        <v>883.86480000000029</v>
      </c>
      <c r="AH67" s="47">
        <v>18</v>
      </c>
      <c r="AI67" s="41">
        <f t="shared" si="23"/>
        <v>334.56540000000007</v>
      </c>
      <c r="AK67" s="47">
        <v>18</v>
      </c>
      <c r="AL67" s="41">
        <f t="shared" si="24"/>
        <v>267.65232000000009</v>
      </c>
      <c r="AN67" s="47">
        <v>18</v>
      </c>
      <c r="AO67" s="41">
        <f t="shared" si="25"/>
        <v>557.60900000000015</v>
      </c>
      <c r="AQ67" s="47">
        <v>18</v>
      </c>
      <c r="AR67" s="41">
        <f t="shared" si="26"/>
        <v>200.73924000000005</v>
      </c>
      <c r="AT67" s="47">
        <v>18</v>
      </c>
      <c r="AU67" s="41">
        <f t="shared" si="27"/>
        <v>713.73952000000008</v>
      </c>
      <c r="AW67" s="47">
        <v>18</v>
      </c>
      <c r="AX67" s="41">
        <f t="shared" si="28"/>
        <v>10260.005600000002</v>
      </c>
    </row>
    <row r="68" spans="2:50" x14ac:dyDescent="0.3">
      <c r="B68" s="2"/>
      <c r="C68" s="138"/>
      <c r="D68" s="7">
        <v>16</v>
      </c>
      <c r="E68" s="41">
        <f t="shared" si="29"/>
        <v>285.76080000000007</v>
      </c>
      <c r="G68" s="138"/>
      <c r="H68" s="7">
        <v>16</v>
      </c>
      <c r="I68" s="41">
        <f t="shared" si="30"/>
        <v>285.76080000000007</v>
      </c>
      <c r="K68" s="138"/>
      <c r="L68" s="7">
        <v>16</v>
      </c>
      <c r="M68" s="41">
        <f t="shared" si="31"/>
        <v>112.97520000000006</v>
      </c>
      <c r="O68" s="138"/>
      <c r="P68" s="7">
        <v>16</v>
      </c>
      <c r="Q68" s="41">
        <f t="shared" si="32"/>
        <v>199.36800000000005</v>
      </c>
      <c r="X68" s="130"/>
      <c r="Y68" s="7">
        <v>17</v>
      </c>
      <c r="Z68" s="1">
        <f t="shared" si="33"/>
        <v>946.10880000000031</v>
      </c>
    </row>
    <row r="69" spans="2:50" x14ac:dyDescent="0.3">
      <c r="B69" s="2"/>
      <c r="C69" s="138"/>
      <c r="D69" s="7">
        <v>17</v>
      </c>
      <c r="E69" s="41">
        <f t="shared" si="29"/>
        <v>305.8848000000001</v>
      </c>
      <c r="G69" s="138"/>
      <c r="H69" s="7">
        <v>17</v>
      </c>
      <c r="I69" s="41">
        <f t="shared" si="30"/>
        <v>305.8848000000001</v>
      </c>
      <c r="K69" s="138"/>
      <c r="L69" s="7">
        <v>17</v>
      </c>
      <c r="M69" s="41">
        <f t="shared" si="31"/>
        <v>120.93120000000006</v>
      </c>
      <c r="O69" s="138"/>
      <c r="P69" s="7">
        <v>17</v>
      </c>
      <c r="Q69" s="41">
        <f t="shared" si="32"/>
        <v>213.40800000000004</v>
      </c>
      <c r="X69" s="140"/>
      <c r="Y69" s="7">
        <v>18</v>
      </c>
      <c r="Z69" s="1">
        <f t="shared" si="33"/>
        <v>946.10880000000031</v>
      </c>
    </row>
    <row r="70" spans="2:50" ht="15" thickBot="1" x14ac:dyDescent="0.35">
      <c r="B70" s="2"/>
      <c r="C70" s="139"/>
      <c r="D70" s="18">
        <v>18</v>
      </c>
      <c r="E70" s="42">
        <f t="shared" si="29"/>
        <v>305.8848000000001</v>
      </c>
      <c r="G70" s="139"/>
      <c r="H70" s="18">
        <v>18</v>
      </c>
      <c r="I70" s="42">
        <f t="shared" si="30"/>
        <v>305.8848000000001</v>
      </c>
      <c r="K70" s="139"/>
      <c r="L70" s="18">
        <v>18</v>
      </c>
      <c r="M70" s="42">
        <f t="shared" si="31"/>
        <v>120.93120000000006</v>
      </c>
      <c r="O70" s="139"/>
      <c r="P70" s="18">
        <v>18</v>
      </c>
      <c r="Q70" s="42">
        <f t="shared" si="32"/>
        <v>213.40800000000004</v>
      </c>
    </row>
    <row r="71" spans="2:50" ht="15" thickBot="1" x14ac:dyDescent="0.35">
      <c r="B71" s="2"/>
      <c r="Y71" s="104" t="s">
        <v>266</v>
      </c>
      <c r="Z71" s="104"/>
    </row>
    <row r="72" spans="2:50" x14ac:dyDescent="0.3">
      <c r="B72" s="2"/>
      <c r="C72" s="135" t="s">
        <v>74</v>
      </c>
      <c r="D72" s="136"/>
      <c r="E72" s="137"/>
      <c r="G72" s="135" t="s">
        <v>74</v>
      </c>
      <c r="H72" s="136"/>
      <c r="I72" s="137"/>
      <c r="K72" s="135" t="s">
        <v>74</v>
      </c>
      <c r="L72" s="136"/>
      <c r="M72" s="137"/>
      <c r="O72" s="135" t="s">
        <v>74</v>
      </c>
      <c r="P72" s="136"/>
      <c r="Q72" s="137"/>
      <c r="X72" s="132" t="s">
        <v>266</v>
      </c>
      <c r="Y72" s="7" t="s">
        <v>67</v>
      </c>
      <c r="Z72" s="1" t="s">
        <v>58</v>
      </c>
    </row>
    <row r="73" spans="2:50" x14ac:dyDescent="0.3">
      <c r="B73" s="2"/>
      <c r="C73" s="43" t="s">
        <v>44</v>
      </c>
      <c r="D73" s="7" t="s">
        <v>67</v>
      </c>
      <c r="E73" s="41" t="s">
        <v>58</v>
      </c>
      <c r="G73" s="43" t="s">
        <v>44</v>
      </c>
      <c r="H73" s="7" t="s">
        <v>67</v>
      </c>
      <c r="I73" s="41" t="s">
        <v>58</v>
      </c>
      <c r="K73" s="43" t="s">
        <v>44</v>
      </c>
      <c r="L73" s="7" t="s">
        <v>67</v>
      </c>
      <c r="M73" s="41" t="s">
        <v>58</v>
      </c>
      <c r="O73" s="43" t="s">
        <v>44</v>
      </c>
      <c r="P73" s="7" t="s">
        <v>67</v>
      </c>
      <c r="Q73" s="41" t="s">
        <v>58</v>
      </c>
      <c r="X73" s="132"/>
      <c r="Y73" s="7">
        <v>8</v>
      </c>
      <c r="Z73" s="1">
        <f t="shared" ref="Z73:Z83" si="34">E74+I74+M74+Q74</f>
        <v>566.09280000000035</v>
      </c>
    </row>
    <row r="74" spans="2:50" x14ac:dyDescent="0.3">
      <c r="B74" s="2"/>
      <c r="C74" s="138">
        <v>8</v>
      </c>
      <c r="D74" s="7">
        <v>8</v>
      </c>
      <c r="E74" s="41">
        <f>$E$9*$U$29*BA5</f>
        <v>242.61120000000014</v>
      </c>
      <c r="G74" s="138">
        <v>3</v>
      </c>
      <c r="H74" s="7">
        <v>8</v>
      </c>
      <c r="I74" s="41">
        <f>$E$9*$U$30*BA5</f>
        <v>90.979200000000063</v>
      </c>
      <c r="K74" s="138">
        <v>3</v>
      </c>
      <c r="L74" s="7">
        <v>8</v>
      </c>
      <c r="M74" s="41">
        <f>$E$9*$U$31*BA5</f>
        <v>90.979200000000063</v>
      </c>
      <c r="O74" s="138">
        <v>8</v>
      </c>
      <c r="P74" s="7">
        <v>8</v>
      </c>
      <c r="Q74" s="41">
        <f>$E$9*$U$32*BA5</f>
        <v>141.52320000000006</v>
      </c>
      <c r="X74" s="132"/>
      <c r="Y74" s="7">
        <v>9</v>
      </c>
      <c r="Z74" s="1">
        <f t="shared" si="34"/>
        <v>487.46880000000027</v>
      </c>
    </row>
    <row r="75" spans="2:50" x14ac:dyDescent="0.3">
      <c r="B75" s="2"/>
      <c r="C75" s="138"/>
      <c r="D75" s="7">
        <v>9</v>
      </c>
      <c r="E75" s="41">
        <f t="shared" ref="E75:E84" si="35">$E$9*$U$29*BA6</f>
        <v>208.91520000000014</v>
      </c>
      <c r="G75" s="138"/>
      <c r="H75" s="7">
        <v>9</v>
      </c>
      <c r="I75" s="41">
        <f t="shared" ref="I75:I84" si="36">$E$9*$U$30*BA6</f>
        <v>78.343200000000053</v>
      </c>
      <c r="K75" s="138"/>
      <c r="L75" s="7">
        <v>9</v>
      </c>
      <c r="M75" s="41">
        <f t="shared" ref="M75:M84" si="37">$E$9*$U$31*BA6</f>
        <v>78.343200000000053</v>
      </c>
      <c r="O75" s="138"/>
      <c r="P75" s="7">
        <v>9</v>
      </c>
      <c r="Q75" s="41">
        <f t="shared" ref="Q75:Q84" si="38">$E$9*$U$32*BA6</f>
        <v>121.86720000000007</v>
      </c>
      <c r="X75" s="132"/>
      <c r="Y75" s="7">
        <v>10</v>
      </c>
      <c r="Z75" s="1">
        <f t="shared" si="34"/>
        <v>408.8448000000003</v>
      </c>
    </row>
    <row r="76" spans="2:50" x14ac:dyDescent="0.3">
      <c r="B76" s="2"/>
      <c r="C76" s="138"/>
      <c r="D76" s="7">
        <v>10</v>
      </c>
      <c r="E76" s="41">
        <f t="shared" si="35"/>
        <v>175.21920000000011</v>
      </c>
      <c r="G76" s="138"/>
      <c r="H76" s="7">
        <v>10</v>
      </c>
      <c r="I76" s="41">
        <f t="shared" si="36"/>
        <v>65.707200000000057</v>
      </c>
      <c r="K76" s="138"/>
      <c r="L76" s="7">
        <v>10</v>
      </c>
      <c r="M76" s="41">
        <f t="shared" si="37"/>
        <v>65.707200000000057</v>
      </c>
      <c r="O76" s="138"/>
      <c r="P76" s="7">
        <v>10</v>
      </c>
      <c r="Q76" s="41">
        <f t="shared" si="38"/>
        <v>102.21120000000006</v>
      </c>
      <c r="X76" s="132"/>
      <c r="Y76" s="7">
        <v>11</v>
      </c>
      <c r="Z76" s="1">
        <f t="shared" si="34"/>
        <v>408.8448000000003</v>
      </c>
    </row>
    <row r="77" spans="2:50" x14ac:dyDescent="0.3">
      <c r="B77" s="2"/>
      <c r="C77" s="138"/>
      <c r="D77" s="7">
        <v>11</v>
      </c>
      <c r="E77" s="41">
        <f t="shared" si="35"/>
        <v>175.21920000000011</v>
      </c>
      <c r="G77" s="138"/>
      <c r="H77" s="7">
        <v>11</v>
      </c>
      <c r="I77" s="41">
        <f t="shared" si="36"/>
        <v>65.707200000000057</v>
      </c>
      <c r="K77" s="138"/>
      <c r="L77" s="7">
        <v>11</v>
      </c>
      <c r="M77" s="41">
        <f t="shared" si="37"/>
        <v>65.707200000000057</v>
      </c>
      <c r="O77" s="138"/>
      <c r="P77" s="7">
        <v>11</v>
      </c>
      <c r="Q77" s="41">
        <f t="shared" si="38"/>
        <v>102.21120000000006</v>
      </c>
      <c r="X77" s="132"/>
      <c r="Y77" s="7">
        <v>12</v>
      </c>
      <c r="Z77" s="1">
        <f t="shared" si="34"/>
        <v>408.8448000000003</v>
      </c>
    </row>
    <row r="78" spans="2:50" x14ac:dyDescent="0.3">
      <c r="B78" s="2"/>
      <c r="C78" s="138"/>
      <c r="D78" s="7">
        <v>12</v>
      </c>
      <c r="E78" s="41">
        <f t="shared" si="35"/>
        <v>175.21920000000011</v>
      </c>
      <c r="G78" s="138"/>
      <c r="H78" s="7">
        <v>12</v>
      </c>
      <c r="I78" s="41">
        <f t="shared" si="36"/>
        <v>65.707200000000057</v>
      </c>
      <c r="K78" s="138"/>
      <c r="L78" s="7">
        <v>12</v>
      </c>
      <c r="M78" s="41">
        <f t="shared" si="37"/>
        <v>65.707200000000057</v>
      </c>
      <c r="O78" s="138"/>
      <c r="P78" s="7">
        <v>12</v>
      </c>
      <c r="Q78" s="41">
        <f t="shared" si="38"/>
        <v>102.21120000000006</v>
      </c>
      <c r="X78" s="132"/>
      <c r="Y78" s="7">
        <v>13</v>
      </c>
      <c r="Z78" s="1">
        <f t="shared" si="34"/>
        <v>408.8448000000003</v>
      </c>
    </row>
    <row r="79" spans="2:50" x14ac:dyDescent="0.3">
      <c r="B79" s="2"/>
      <c r="C79" s="138"/>
      <c r="D79" s="7">
        <v>13</v>
      </c>
      <c r="E79" s="41">
        <f t="shared" si="35"/>
        <v>175.21920000000011</v>
      </c>
      <c r="G79" s="138"/>
      <c r="H79" s="7">
        <v>13</v>
      </c>
      <c r="I79" s="41">
        <f t="shared" si="36"/>
        <v>65.707200000000057</v>
      </c>
      <c r="K79" s="138"/>
      <c r="L79" s="7">
        <v>13</v>
      </c>
      <c r="M79" s="41">
        <f t="shared" si="37"/>
        <v>65.707200000000057</v>
      </c>
      <c r="O79" s="138"/>
      <c r="P79" s="7">
        <v>13</v>
      </c>
      <c r="Q79" s="41">
        <f t="shared" si="38"/>
        <v>102.21120000000006</v>
      </c>
      <c r="X79" s="132"/>
      <c r="Y79" s="7">
        <v>14</v>
      </c>
      <c r="Z79" s="1">
        <f t="shared" si="34"/>
        <v>408.8448000000003</v>
      </c>
    </row>
    <row r="80" spans="2:50" x14ac:dyDescent="0.3">
      <c r="B80" s="2"/>
      <c r="C80" s="138"/>
      <c r="D80" s="7">
        <v>14</v>
      </c>
      <c r="E80" s="41">
        <f t="shared" si="35"/>
        <v>175.21920000000011</v>
      </c>
      <c r="G80" s="138"/>
      <c r="H80" s="7">
        <v>14</v>
      </c>
      <c r="I80" s="41">
        <f t="shared" si="36"/>
        <v>65.707200000000057</v>
      </c>
      <c r="K80" s="138"/>
      <c r="L80" s="7">
        <v>14</v>
      </c>
      <c r="M80" s="41">
        <f t="shared" si="37"/>
        <v>65.707200000000057</v>
      </c>
      <c r="O80" s="138"/>
      <c r="P80" s="7">
        <v>14</v>
      </c>
      <c r="Q80" s="41">
        <f t="shared" si="38"/>
        <v>102.21120000000006</v>
      </c>
      <c r="X80" s="132"/>
      <c r="Y80" s="7">
        <v>15</v>
      </c>
      <c r="Z80" s="1">
        <f t="shared" si="34"/>
        <v>487.46880000000027</v>
      </c>
    </row>
    <row r="81" spans="2:26" x14ac:dyDescent="0.3">
      <c r="B81" s="2"/>
      <c r="C81" s="138"/>
      <c r="D81" s="7">
        <v>15</v>
      </c>
      <c r="E81" s="41">
        <f t="shared" si="35"/>
        <v>208.91520000000014</v>
      </c>
      <c r="G81" s="138"/>
      <c r="H81" s="7">
        <v>15</v>
      </c>
      <c r="I81" s="41">
        <f t="shared" si="36"/>
        <v>78.343200000000053</v>
      </c>
      <c r="K81" s="138"/>
      <c r="L81" s="7">
        <v>15</v>
      </c>
      <c r="M81" s="41">
        <f t="shared" si="37"/>
        <v>78.343200000000053</v>
      </c>
      <c r="O81" s="138"/>
      <c r="P81" s="7">
        <v>15</v>
      </c>
      <c r="Q81" s="41">
        <f t="shared" si="38"/>
        <v>121.86720000000007</v>
      </c>
      <c r="X81" s="132"/>
      <c r="Y81" s="7">
        <v>16</v>
      </c>
      <c r="Z81" s="1">
        <f t="shared" si="34"/>
        <v>566.09280000000035</v>
      </c>
    </row>
    <row r="82" spans="2:26" x14ac:dyDescent="0.3">
      <c r="B82" s="2"/>
      <c r="C82" s="138"/>
      <c r="D82" s="7">
        <v>16</v>
      </c>
      <c r="E82" s="41">
        <f t="shared" si="35"/>
        <v>242.61120000000014</v>
      </c>
      <c r="G82" s="138"/>
      <c r="H82" s="7">
        <v>16</v>
      </c>
      <c r="I82" s="41">
        <f t="shared" si="36"/>
        <v>90.979200000000063</v>
      </c>
      <c r="K82" s="138"/>
      <c r="L82" s="7">
        <v>16</v>
      </c>
      <c r="M82" s="41">
        <f t="shared" si="37"/>
        <v>90.979200000000063</v>
      </c>
      <c r="O82" s="138"/>
      <c r="P82" s="7">
        <v>16</v>
      </c>
      <c r="Q82" s="41">
        <f t="shared" si="38"/>
        <v>141.52320000000006</v>
      </c>
      <c r="X82" s="132"/>
      <c r="Y82" s="7">
        <v>17</v>
      </c>
      <c r="Z82" s="1">
        <f t="shared" si="34"/>
        <v>723.3408000000004</v>
      </c>
    </row>
    <row r="83" spans="2:26" x14ac:dyDescent="0.3">
      <c r="B83" s="2"/>
      <c r="C83" s="138"/>
      <c r="D83" s="7">
        <v>17</v>
      </c>
      <c r="E83" s="41">
        <f t="shared" si="35"/>
        <v>310.00320000000016</v>
      </c>
      <c r="G83" s="138"/>
      <c r="H83" s="7">
        <v>17</v>
      </c>
      <c r="I83" s="41">
        <f t="shared" si="36"/>
        <v>116.25120000000007</v>
      </c>
      <c r="K83" s="138"/>
      <c r="L83" s="7">
        <v>17</v>
      </c>
      <c r="M83" s="41">
        <f t="shared" si="37"/>
        <v>116.25120000000007</v>
      </c>
      <c r="O83" s="138"/>
      <c r="P83" s="7">
        <v>17</v>
      </c>
      <c r="Q83" s="41">
        <f t="shared" si="38"/>
        <v>180.83520000000007</v>
      </c>
      <c r="X83" s="132"/>
      <c r="Y83" s="7">
        <v>18</v>
      </c>
      <c r="Z83" s="1">
        <f t="shared" si="34"/>
        <v>880.58880000000045</v>
      </c>
    </row>
    <row r="84" spans="2:26" ht="15" thickBot="1" x14ac:dyDescent="0.35">
      <c r="B84" s="2"/>
      <c r="C84" s="139"/>
      <c r="D84" s="18">
        <v>18</v>
      </c>
      <c r="E84" s="42">
        <f t="shared" si="35"/>
        <v>377.39520000000016</v>
      </c>
      <c r="G84" s="139"/>
      <c r="H84" s="18">
        <v>18</v>
      </c>
      <c r="I84" s="42">
        <f t="shared" si="36"/>
        <v>141.52320000000006</v>
      </c>
      <c r="K84" s="139"/>
      <c r="L84" s="18">
        <v>18</v>
      </c>
      <c r="M84" s="42">
        <f t="shared" si="37"/>
        <v>141.52320000000006</v>
      </c>
      <c r="O84" s="139"/>
      <c r="P84" s="18">
        <v>18</v>
      </c>
      <c r="Q84" s="42">
        <f t="shared" si="38"/>
        <v>220.14720000000008</v>
      </c>
    </row>
    <row r="85" spans="2:26" ht="15" thickBot="1" x14ac:dyDescent="0.35">
      <c r="B85" s="2"/>
      <c r="Y85" s="104" t="s">
        <v>265</v>
      </c>
      <c r="Z85" s="104"/>
    </row>
    <row r="86" spans="2:26" x14ac:dyDescent="0.3">
      <c r="B86" s="2"/>
      <c r="C86" s="135" t="s">
        <v>75</v>
      </c>
      <c r="D86" s="136"/>
      <c r="E86" s="137"/>
      <c r="G86" s="135" t="s">
        <v>76</v>
      </c>
      <c r="H86" s="136"/>
      <c r="I86" s="137"/>
      <c r="K86" s="135" t="s">
        <v>76</v>
      </c>
      <c r="L86" s="136"/>
      <c r="M86" s="137"/>
      <c r="O86" s="135" t="s">
        <v>76</v>
      </c>
      <c r="P86" s="136"/>
      <c r="Q86" s="137"/>
      <c r="X86" s="132" t="s">
        <v>265</v>
      </c>
      <c r="Y86" s="7" t="s">
        <v>67</v>
      </c>
      <c r="Z86" s="1" t="s">
        <v>58</v>
      </c>
    </row>
    <row r="87" spans="2:26" x14ac:dyDescent="0.3">
      <c r="B87" s="2"/>
      <c r="C87" s="43" t="s">
        <v>44</v>
      </c>
      <c r="D87" s="7" t="s">
        <v>67</v>
      </c>
      <c r="E87" s="41" t="s">
        <v>58</v>
      </c>
      <c r="G87" s="43" t="s">
        <v>44</v>
      </c>
      <c r="H87" s="7" t="s">
        <v>67</v>
      </c>
      <c r="I87" s="41" t="s">
        <v>58</v>
      </c>
      <c r="K87" s="43" t="s">
        <v>44</v>
      </c>
      <c r="L87" s="7" t="s">
        <v>67</v>
      </c>
      <c r="M87" s="41" t="s">
        <v>58</v>
      </c>
      <c r="O87" s="43" t="s">
        <v>44</v>
      </c>
      <c r="P87" s="7" t="s">
        <v>67</v>
      </c>
      <c r="Q87" s="41" t="s">
        <v>58</v>
      </c>
      <c r="T87" s="44"/>
      <c r="X87" s="132"/>
      <c r="Y87" s="7">
        <v>8</v>
      </c>
      <c r="Z87" s="1">
        <f>E88+I88+M88+Q88</f>
        <v>228.00960000000021</v>
      </c>
    </row>
    <row r="88" spans="2:26" x14ac:dyDescent="0.3">
      <c r="B88" s="2"/>
      <c r="C88" s="138">
        <v>5</v>
      </c>
      <c r="D88" s="7">
        <v>8</v>
      </c>
      <c r="E88" s="41">
        <f>$E$9*$U$36*BD5</f>
        <v>88.452000000000069</v>
      </c>
      <c r="G88" s="138">
        <v>3</v>
      </c>
      <c r="H88" s="7">
        <v>8</v>
      </c>
      <c r="I88" s="41">
        <f t="shared" ref="I88:I98" si="39">$E$9*$U$37*BD5</f>
        <v>33.415200000000034</v>
      </c>
      <c r="K88" s="138">
        <v>2</v>
      </c>
      <c r="L88" s="7">
        <v>8</v>
      </c>
      <c r="M88" s="41">
        <f>$E$9*$U$38*BD5</f>
        <v>35.380800000000029</v>
      </c>
      <c r="O88" s="138">
        <v>4</v>
      </c>
      <c r="P88" s="7">
        <v>8</v>
      </c>
      <c r="Q88" s="41">
        <f>$E$9*$U$39*BD5</f>
        <v>70.761600000000058</v>
      </c>
      <c r="S88" s="45"/>
      <c r="T88" s="44"/>
      <c r="X88" s="132"/>
      <c r="Y88" s="7">
        <v>9</v>
      </c>
      <c r="Z88" s="1">
        <f t="shared" ref="Z88:Z97" si="40">E89+I89+M89+Q89</f>
        <v>173.72160000000019</v>
      </c>
    </row>
    <row r="89" spans="2:26" x14ac:dyDescent="0.3">
      <c r="B89" s="2"/>
      <c r="C89" s="138"/>
      <c r="D89" s="7">
        <v>9</v>
      </c>
      <c r="E89" s="41">
        <f t="shared" ref="E89:E98" si="41">$E$9*$U$36*BD6</f>
        <v>67.392000000000067</v>
      </c>
      <c r="G89" s="138"/>
      <c r="H89" s="7">
        <v>9</v>
      </c>
      <c r="I89" s="41">
        <f t="shared" si="39"/>
        <v>25.459200000000031</v>
      </c>
      <c r="K89" s="138"/>
      <c r="L89" s="7">
        <v>9</v>
      </c>
      <c r="M89" s="41">
        <f t="shared" ref="M89:M98" si="42">$E$9*$U$38*BD6</f>
        <v>26.95680000000003</v>
      </c>
      <c r="O89" s="138"/>
      <c r="P89" s="7">
        <v>9</v>
      </c>
      <c r="Q89" s="41">
        <f t="shared" ref="Q89:Q98" si="43">$E$9*$U$39*BD6</f>
        <v>53.913600000000059</v>
      </c>
      <c r="S89" s="45"/>
      <c r="T89" s="44"/>
      <c r="X89" s="132"/>
      <c r="Y89" s="7">
        <v>10</v>
      </c>
      <c r="Z89" s="1">
        <f t="shared" si="40"/>
        <v>173.72160000000019</v>
      </c>
    </row>
    <row r="90" spans="2:26" x14ac:dyDescent="0.3">
      <c r="B90" s="2"/>
      <c r="C90" s="138"/>
      <c r="D90" s="7">
        <v>10</v>
      </c>
      <c r="E90" s="41">
        <f t="shared" si="41"/>
        <v>67.392000000000067</v>
      </c>
      <c r="G90" s="138"/>
      <c r="H90" s="7">
        <v>10</v>
      </c>
      <c r="I90" s="41">
        <f t="shared" si="39"/>
        <v>25.459200000000031</v>
      </c>
      <c r="K90" s="138"/>
      <c r="L90" s="7">
        <v>10</v>
      </c>
      <c r="M90" s="41">
        <f t="shared" si="42"/>
        <v>26.95680000000003</v>
      </c>
      <c r="O90" s="138"/>
      <c r="P90" s="7">
        <v>10</v>
      </c>
      <c r="Q90" s="41">
        <f t="shared" si="43"/>
        <v>53.913600000000059</v>
      </c>
      <c r="S90" s="45"/>
      <c r="T90" s="44"/>
      <c r="X90" s="132"/>
      <c r="Y90" s="7">
        <v>11</v>
      </c>
      <c r="Z90" s="1">
        <f t="shared" si="40"/>
        <v>173.72160000000019</v>
      </c>
    </row>
    <row r="91" spans="2:26" x14ac:dyDescent="0.3">
      <c r="B91" s="2"/>
      <c r="C91" s="138"/>
      <c r="D91" s="7">
        <v>11</v>
      </c>
      <c r="E91" s="41">
        <f t="shared" si="41"/>
        <v>67.392000000000067</v>
      </c>
      <c r="G91" s="138"/>
      <c r="H91" s="7">
        <v>11</v>
      </c>
      <c r="I91" s="41">
        <f t="shared" si="39"/>
        <v>25.459200000000031</v>
      </c>
      <c r="K91" s="138"/>
      <c r="L91" s="7">
        <v>11</v>
      </c>
      <c r="M91" s="41">
        <f t="shared" si="42"/>
        <v>26.95680000000003</v>
      </c>
      <c r="O91" s="138"/>
      <c r="P91" s="7">
        <v>11</v>
      </c>
      <c r="Q91" s="41">
        <f t="shared" si="43"/>
        <v>53.913600000000059</v>
      </c>
      <c r="S91" s="45"/>
      <c r="T91" s="44"/>
      <c r="X91" s="132"/>
      <c r="Y91" s="7">
        <v>12</v>
      </c>
      <c r="Z91" s="1">
        <f t="shared" si="40"/>
        <v>173.72160000000019</v>
      </c>
    </row>
    <row r="92" spans="2:26" x14ac:dyDescent="0.3">
      <c r="B92" s="2"/>
      <c r="C92" s="138"/>
      <c r="D92" s="7">
        <v>12</v>
      </c>
      <c r="E92" s="41">
        <f t="shared" si="41"/>
        <v>67.392000000000067</v>
      </c>
      <c r="G92" s="138"/>
      <c r="H92" s="7">
        <v>12</v>
      </c>
      <c r="I92" s="41">
        <f t="shared" si="39"/>
        <v>25.459200000000031</v>
      </c>
      <c r="K92" s="138"/>
      <c r="L92" s="7">
        <v>12</v>
      </c>
      <c r="M92" s="41">
        <f t="shared" si="42"/>
        <v>26.95680000000003</v>
      </c>
      <c r="O92" s="138"/>
      <c r="P92" s="7">
        <v>12</v>
      </c>
      <c r="Q92" s="41">
        <f t="shared" si="43"/>
        <v>53.913600000000059</v>
      </c>
      <c r="S92" s="45"/>
      <c r="T92" s="44"/>
      <c r="X92" s="132"/>
      <c r="Y92" s="7">
        <v>13</v>
      </c>
      <c r="Z92" s="1">
        <f t="shared" si="40"/>
        <v>228.00960000000021</v>
      </c>
    </row>
    <row r="93" spans="2:26" x14ac:dyDescent="0.3">
      <c r="B93" s="2"/>
      <c r="C93" s="138"/>
      <c r="D93" s="7">
        <v>13</v>
      </c>
      <c r="E93" s="41">
        <f t="shared" si="41"/>
        <v>88.452000000000069</v>
      </c>
      <c r="G93" s="138"/>
      <c r="H93" s="7">
        <v>13</v>
      </c>
      <c r="I93" s="41">
        <f t="shared" si="39"/>
        <v>33.415200000000034</v>
      </c>
      <c r="K93" s="138"/>
      <c r="L93" s="7">
        <v>13</v>
      </c>
      <c r="M93" s="41">
        <f t="shared" si="42"/>
        <v>35.380800000000029</v>
      </c>
      <c r="O93" s="138"/>
      <c r="P93" s="7">
        <v>13</v>
      </c>
      <c r="Q93" s="41">
        <f t="shared" si="43"/>
        <v>70.761600000000058</v>
      </c>
      <c r="S93" s="45"/>
      <c r="T93" s="44"/>
      <c r="X93" s="132"/>
      <c r="Y93" s="7">
        <v>14</v>
      </c>
      <c r="Z93" s="1">
        <f t="shared" si="40"/>
        <v>336.58560000000023</v>
      </c>
    </row>
    <row r="94" spans="2:26" x14ac:dyDescent="0.3">
      <c r="B94" s="2"/>
      <c r="C94" s="138"/>
      <c r="D94" s="7">
        <v>14</v>
      </c>
      <c r="E94" s="41">
        <f t="shared" si="41"/>
        <v>130.57200000000009</v>
      </c>
      <c r="G94" s="138"/>
      <c r="H94" s="7">
        <v>14</v>
      </c>
      <c r="I94" s="41">
        <f t="shared" si="39"/>
        <v>49.327200000000033</v>
      </c>
      <c r="K94" s="138"/>
      <c r="L94" s="7">
        <v>14</v>
      </c>
      <c r="M94" s="41">
        <f t="shared" si="42"/>
        <v>52.228800000000035</v>
      </c>
      <c r="O94" s="138"/>
      <c r="P94" s="7">
        <v>14</v>
      </c>
      <c r="Q94" s="41">
        <f t="shared" si="43"/>
        <v>104.45760000000007</v>
      </c>
      <c r="S94" s="45"/>
      <c r="T94" s="44"/>
      <c r="X94" s="132"/>
      <c r="Y94" s="7">
        <v>15</v>
      </c>
      <c r="Z94" s="1">
        <f t="shared" si="40"/>
        <v>390.87360000000024</v>
      </c>
    </row>
    <row r="95" spans="2:26" x14ac:dyDescent="0.3">
      <c r="B95" s="2"/>
      <c r="C95" s="138"/>
      <c r="D95" s="7">
        <v>15</v>
      </c>
      <c r="E95" s="41">
        <f t="shared" si="41"/>
        <v>151.63200000000009</v>
      </c>
      <c r="G95" s="138"/>
      <c r="H95" s="7">
        <v>15</v>
      </c>
      <c r="I95" s="41">
        <f t="shared" si="39"/>
        <v>57.283200000000036</v>
      </c>
      <c r="K95" s="138"/>
      <c r="L95" s="7">
        <v>15</v>
      </c>
      <c r="M95" s="41">
        <f t="shared" si="42"/>
        <v>60.652800000000035</v>
      </c>
      <c r="O95" s="138"/>
      <c r="P95" s="7">
        <v>15</v>
      </c>
      <c r="Q95" s="41">
        <f t="shared" si="43"/>
        <v>121.30560000000007</v>
      </c>
      <c r="S95" s="45"/>
      <c r="T95" s="44"/>
      <c r="X95" s="132"/>
      <c r="Y95" s="7">
        <v>16</v>
      </c>
      <c r="Z95" s="1">
        <f t="shared" si="40"/>
        <v>499.44960000000026</v>
      </c>
    </row>
    <row r="96" spans="2:26" x14ac:dyDescent="0.3">
      <c r="B96" s="2"/>
      <c r="C96" s="138"/>
      <c r="D96" s="7">
        <v>16</v>
      </c>
      <c r="E96" s="41">
        <f t="shared" si="41"/>
        <v>193.75200000000009</v>
      </c>
      <c r="G96" s="138"/>
      <c r="H96" s="7">
        <v>16</v>
      </c>
      <c r="I96" s="41">
        <f t="shared" si="39"/>
        <v>73.195200000000042</v>
      </c>
      <c r="K96" s="138"/>
      <c r="L96" s="7">
        <v>16</v>
      </c>
      <c r="M96" s="41">
        <f t="shared" si="42"/>
        <v>77.500800000000041</v>
      </c>
      <c r="O96" s="138"/>
      <c r="P96" s="7">
        <v>16</v>
      </c>
      <c r="Q96" s="41">
        <f t="shared" si="43"/>
        <v>155.00160000000008</v>
      </c>
      <c r="S96" s="45"/>
      <c r="T96" s="44"/>
      <c r="X96" s="132"/>
      <c r="Y96" s="7">
        <v>17</v>
      </c>
      <c r="Z96" s="1">
        <f t="shared" si="40"/>
        <v>553.73760000000016</v>
      </c>
    </row>
    <row r="97" spans="2:26" x14ac:dyDescent="0.3">
      <c r="B97" s="2"/>
      <c r="C97" s="138"/>
      <c r="D97" s="7">
        <v>17</v>
      </c>
      <c r="E97" s="41">
        <f t="shared" si="41"/>
        <v>214.8120000000001</v>
      </c>
      <c r="G97" s="138"/>
      <c r="H97" s="7">
        <v>17</v>
      </c>
      <c r="I97" s="41">
        <f t="shared" si="39"/>
        <v>81.151200000000046</v>
      </c>
      <c r="K97" s="138"/>
      <c r="L97" s="7">
        <v>17</v>
      </c>
      <c r="M97" s="41">
        <f t="shared" si="42"/>
        <v>85.924800000000033</v>
      </c>
      <c r="O97" s="138"/>
      <c r="P97" s="7">
        <v>17</v>
      </c>
      <c r="Q97" s="41">
        <f t="shared" si="43"/>
        <v>171.84960000000007</v>
      </c>
      <c r="S97" s="45"/>
      <c r="T97" s="44"/>
      <c r="X97" s="132"/>
      <c r="Y97" s="7">
        <v>18</v>
      </c>
      <c r="Z97" s="1">
        <f t="shared" si="40"/>
        <v>608.02560000000028</v>
      </c>
    </row>
    <row r="98" spans="2:26" ht="15" thickBot="1" x14ac:dyDescent="0.35">
      <c r="B98" s="2"/>
      <c r="C98" s="139"/>
      <c r="D98" s="18">
        <v>18</v>
      </c>
      <c r="E98" s="42">
        <f t="shared" si="41"/>
        <v>235.8720000000001</v>
      </c>
      <c r="G98" s="139"/>
      <c r="H98" s="18">
        <v>18</v>
      </c>
      <c r="I98" s="42">
        <f t="shared" si="39"/>
        <v>89.107200000000049</v>
      </c>
      <c r="K98" s="139"/>
      <c r="L98" s="18">
        <v>18</v>
      </c>
      <c r="M98" s="42">
        <f t="shared" si="42"/>
        <v>94.34880000000004</v>
      </c>
      <c r="O98" s="139"/>
      <c r="P98" s="18">
        <v>18</v>
      </c>
      <c r="Q98" s="42">
        <f t="shared" si="43"/>
        <v>188.69760000000008</v>
      </c>
      <c r="S98" s="45"/>
      <c r="T98" s="44"/>
    </row>
    <row r="99" spans="2:26" x14ac:dyDescent="0.3">
      <c r="B99" s="2"/>
    </row>
    <row r="100" spans="2:26" x14ac:dyDescent="0.3">
      <c r="B100" s="2"/>
      <c r="Z100" s="22"/>
    </row>
    <row r="101" spans="2:26" ht="15" thickBot="1" x14ac:dyDescent="0.35"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</sheetData>
  <mergeCells count="66">
    <mergeCell ref="O60:O70"/>
    <mergeCell ref="S44:U44"/>
    <mergeCell ref="X86:X97"/>
    <mergeCell ref="Y85:Z85"/>
    <mergeCell ref="Y71:Z71"/>
    <mergeCell ref="Y57:Z57"/>
    <mergeCell ref="X58:X69"/>
    <mergeCell ref="X72:X83"/>
    <mergeCell ref="S46:S56"/>
    <mergeCell ref="O44:Q44"/>
    <mergeCell ref="K74:K84"/>
    <mergeCell ref="G60:G70"/>
    <mergeCell ref="K58:M58"/>
    <mergeCell ref="K60:K70"/>
    <mergeCell ref="K46:K56"/>
    <mergeCell ref="C60:C70"/>
    <mergeCell ref="O86:Q86"/>
    <mergeCell ref="O88:O98"/>
    <mergeCell ref="C86:E86"/>
    <mergeCell ref="C88:C98"/>
    <mergeCell ref="G86:I86"/>
    <mergeCell ref="G88:G98"/>
    <mergeCell ref="K86:M86"/>
    <mergeCell ref="K88:K98"/>
    <mergeCell ref="C72:E72"/>
    <mergeCell ref="C74:C84"/>
    <mergeCell ref="O72:Q72"/>
    <mergeCell ref="O74:O84"/>
    <mergeCell ref="G72:I72"/>
    <mergeCell ref="G74:G84"/>
    <mergeCell ref="K72:M72"/>
    <mergeCell ref="D23:E24"/>
    <mergeCell ref="C58:E58"/>
    <mergeCell ref="O58:Q58"/>
    <mergeCell ref="G58:I58"/>
    <mergeCell ref="O46:O56"/>
    <mergeCell ref="C46:C56"/>
    <mergeCell ref="C44:E44"/>
    <mergeCell ref="G44:I44"/>
    <mergeCell ref="G46:G56"/>
    <mergeCell ref="K44:M44"/>
    <mergeCell ref="D3:G3"/>
    <mergeCell ref="AG2:AG3"/>
    <mergeCell ref="AH2:AH3"/>
    <mergeCell ref="AI2:AI3"/>
    <mergeCell ref="Y43:Z43"/>
    <mergeCell ref="N3:U3"/>
    <mergeCell ref="AA3:AD3"/>
    <mergeCell ref="I3:L3"/>
    <mergeCell ref="N12:U12"/>
    <mergeCell ref="N20:U20"/>
    <mergeCell ref="O14:O18"/>
    <mergeCell ref="O22:O25"/>
    <mergeCell ref="N27:U27"/>
    <mergeCell ref="O29:O32"/>
    <mergeCell ref="N34:U34"/>
    <mergeCell ref="O36:O39"/>
    <mergeCell ref="AP2:AP3"/>
    <mergeCell ref="AQ2:AQ3"/>
    <mergeCell ref="AF2:AF3"/>
    <mergeCell ref="AN2:AN3"/>
    <mergeCell ref="AO2:AO3"/>
    <mergeCell ref="AJ2:AJ3"/>
    <mergeCell ref="AK2:AK3"/>
    <mergeCell ref="AL2:AL3"/>
    <mergeCell ref="AM2:AM3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0F37A-18E9-4E42-A501-4BF1A2000478}">
  <dimension ref="C2:N15"/>
  <sheetViews>
    <sheetView topLeftCell="B3" zoomScale="62" workbookViewId="0">
      <selection activeCell="L30" sqref="L30"/>
    </sheetView>
  </sheetViews>
  <sheetFormatPr defaultRowHeight="14.4" x14ac:dyDescent="0.3"/>
  <sheetData>
    <row r="2" spans="3:14" ht="15" thickBot="1" x14ac:dyDescent="0.35">
      <c r="D2" t="s">
        <v>202</v>
      </c>
      <c r="E2" t="s">
        <v>207</v>
      </c>
    </row>
    <row r="3" spans="3:14" ht="69.599999999999994" thickBot="1" x14ac:dyDescent="0.35">
      <c r="C3" t="s">
        <v>57</v>
      </c>
      <c r="D3">
        <v>3</v>
      </c>
      <c r="E3" s="65">
        <f>Planilha1!AF45</f>
        <v>35</v>
      </c>
      <c r="F3" s="65"/>
      <c r="G3" s="65"/>
      <c r="H3" s="69" t="s">
        <v>206</v>
      </c>
      <c r="I3" s="69" t="s">
        <v>208</v>
      </c>
      <c r="J3" s="69" t="s">
        <v>209</v>
      </c>
      <c r="K3" s="69" t="s">
        <v>210</v>
      </c>
      <c r="L3" s="69" t="s">
        <v>211</v>
      </c>
      <c r="M3" s="69" t="s">
        <v>212</v>
      </c>
      <c r="N3" s="70" t="s">
        <v>213</v>
      </c>
    </row>
    <row r="4" spans="3:14" ht="15" thickBot="1" x14ac:dyDescent="0.35">
      <c r="C4" t="s">
        <v>59</v>
      </c>
      <c r="D4">
        <v>3</v>
      </c>
      <c r="E4" s="65">
        <f>Planilha1!AF46</f>
        <v>9</v>
      </c>
      <c r="F4" s="65"/>
      <c r="G4" s="65"/>
      <c r="H4" s="69" t="s">
        <v>57</v>
      </c>
      <c r="I4" s="71">
        <v>3</v>
      </c>
      <c r="J4" s="71" t="s">
        <v>214</v>
      </c>
      <c r="K4" s="71" t="s">
        <v>215</v>
      </c>
      <c r="L4" s="71" t="s">
        <v>216</v>
      </c>
      <c r="M4" s="71" t="s">
        <v>217</v>
      </c>
      <c r="N4" s="72" t="s">
        <v>218</v>
      </c>
    </row>
    <row r="5" spans="3:14" ht="15" thickBot="1" x14ac:dyDescent="0.35">
      <c r="C5" t="s">
        <v>60</v>
      </c>
      <c r="D5">
        <v>0</v>
      </c>
      <c r="E5" s="65">
        <f>Planilha1!AF47</f>
        <v>32</v>
      </c>
      <c r="F5" s="65"/>
      <c r="G5" s="65"/>
      <c r="H5" s="69" t="s">
        <v>59</v>
      </c>
      <c r="I5" s="71">
        <v>3</v>
      </c>
      <c r="J5" s="71" t="s">
        <v>219</v>
      </c>
      <c r="K5" s="71" t="s">
        <v>215</v>
      </c>
      <c r="L5" s="71" t="s">
        <v>220</v>
      </c>
      <c r="M5" s="71" t="s">
        <v>221</v>
      </c>
      <c r="N5" s="72" t="s">
        <v>222</v>
      </c>
    </row>
    <row r="6" spans="3:14" ht="15" thickBot="1" x14ac:dyDescent="0.35">
      <c r="C6" t="s">
        <v>61</v>
      </c>
      <c r="D6">
        <v>8</v>
      </c>
      <c r="E6" s="65">
        <f>Planilha1!AF48</f>
        <v>35</v>
      </c>
      <c r="F6" s="65"/>
      <c r="G6" s="65"/>
      <c r="H6" s="69" t="s">
        <v>60</v>
      </c>
      <c r="I6" s="71">
        <v>0</v>
      </c>
      <c r="J6" s="71" t="s">
        <v>223</v>
      </c>
      <c r="K6" s="71" t="s">
        <v>224</v>
      </c>
      <c r="L6" s="71" t="s">
        <v>225</v>
      </c>
      <c r="M6" s="71" t="s">
        <v>225</v>
      </c>
      <c r="N6" s="72" t="s">
        <v>226</v>
      </c>
    </row>
    <row r="7" spans="3:14" ht="15" thickBot="1" x14ac:dyDescent="0.35">
      <c r="C7" t="s">
        <v>62</v>
      </c>
      <c r="D7">
        <v>1</v>
      </c>
      <c r="E7" s="65">
        <f>Planilha1!AF49</f>
        <v>12</v>
      </c>
      <c r="F7" s="65"/>
      <c r="G7" s="65"/>
      <c r="H7" s="69" t="s">
        <v>61</v>
      </c>
      <c r="I7" s="71">
        <v>8</v>
      </c>
      <c r="J7" s="71" t="s">
        <v>214</v>
      </c>
      <c r="K7" s="71" t="s">
        <v>227</v>
      </c>
      <c r="L7" s="71" t="s">
        <v>216</v>
      </c>
      <c r="M7" s="71" t="s">
        <v>228</v>
      </c>
      <c r="N7" s="72" t="s">
        <v>229</v>
      </c>
    </row>
    <row r="8" spans="3:14" ht="15" thickBot="1" x14ac:dyDescent="0.35">
      <c r="C8" t="s">
        <v>68</v>
      </c>
      <c r="D8">
        <v>4</v>
      </c>
      <c r="E8" s="65">
        <f>Planilha1!AF50</f>
        <v>15</v>
      </c>
      <c r="F8" s="65"/>
      <c r="G8" s="65"/>
      <c r="H8" s="69" t="s">
        <v>62</v>
      </c>
      <c r="I8" s="71">
        <v>1</v>
      </c>
      <c r="J8" s="71" t="s">
        <v>230</v>
      </c>
      <c r="K8" s="71" t="s">
        <v>231</v>
      </c>
      <c r="L8" s="71" t="s">
        <v>232</v>
      </c>
      <c r="M8" s="71" t="s">
        <v>233</v>
      </c>
      <c r="N8" s="72" t="s">
        <v>234</v>
      </c>
    </row>
    <row r="9" spans="3:14" ht="15" thickBot="1" x14ac:dyDescent="0.35">
      <c r="C9" t="s">
        <v>69</v>
      </c>
      <c r="D9">
        <v>2</v>
      </c>
      <c r="E9" s="65">
        <f>Planilha1!AF51</f>
        <v>12</v>
      </c>
      <c r="F9" s="65"/>
      <c r="G9" s="65"/>
      <c r="H9" s="69" t="s">
        <v>68</v>
      </c>
      <c r="I9" s="71">
        <v>4</v>
      </c>
      <c r="J9" s="71" t="s">
        <v>235</v>
      </c>
      <c r="K9" s="71" t="s">
        <v>236</v>
      </c>
      <c r="L9" s="71" t="s">
        <v>237</v>
      </c>
      <c r="M9" s="71" t="s">
        <v>238</v>
      </c>
      <c r="N9" s="72" t="s">
        <v>239</v>
      </c>
    </row>
    <row r="10" spans="3:14" ht="15" thickBot="1" x14ac:dyDescent="0.35">
      <c r="C10" t="s">
        <v>70</v>
      </c>
      <c r="D10">
        <v>6</v>
      </c>
      <c r="E10" s="65">
        <f>Planilha1!AF52</f>
        <v>25</v>
      </c>
      <c r="F10" s="65"/>
      <c r="G10" s="65"/>
      <c r="H10" s="69" t="s">
        <v>69</v>
      </c>
      <c r="I10" s="71">
        <v>2</v>
      </c>
      <c r="J10" s="71" t="s">
        <v>230</v>
      </c>
      <c r="K10" s="71" t="s">
        <v>240</v>
      </c>
      <c r="L10" s="71" t="s">
        <v>232</v>
      </c>
      <c r="M10" s="71" t="s">
        <v>241</v>
      </c>
      <c r="N10" s="72" t="s">
        <v>242</v>
      </c>
    </row>
    <row r="11" spans="3:14" ht="15" thickBot="1" x14ac:dyDescent="0.35">
      <c r="C11" t="s">
        <v>71</v>
      </c>
      <c r="D11">
        <v>3</v>
      </c>
      <c r="E11" s="65">
        <f>Planilha1!AF53</f>
        <v>9</v>
      </c>
      <c r="F11" s="65"/>
      <c r="G11" s="65"/>
      <c r="H11" s="69" t="s">
        <v>70</v>
      </c>
      <c r="I11" s="71">
        <v>6</v>
      </c>
      <c r="J11" s="71" t="s">
        <v>243</v>
      </c>
      <c r="K11" s="71" t="s">
        <v>244</v>
      </c>
      <c r="L11" s="71" t="s">
        <v>215</v>
      </c>
      <c r="M11" s="71" t="s">
        <v>245</v>
      </c>
      <c r="N11" s="72" t="s">
        <v>246</v>
      </c>
    </row>
    <row r="12" spans="3:14" ht="15" thickBot="1" x14ac:dyDescent="0.35">
      <c r="C12" t="s">
        <v>72</v>
      </c>
      <c r="D12">
        <v>8</v>
      </c>
      <c r="E12" s="65">
        <f>Planilha1!AF54</f>
        <v>32</v>
      </c>
      <c r="F12" s="65"/>
      <c r="G12" s="65"/>
      <c r="H12" s="69" t="s">
        <v>71</v>
      </c>
      <c r="I12" s="71">
        <v>3</v>
      </c>
      <c r="J12" s="71" t="s">
        <v>219</v>
      </c>
      <c r="K12" s="71" t="s">
        <v>215</v>
      </c>
      <c r="L12" s="71" t="s">
        <v>220</v>
      </c>
      <c r="M12" s="71" t="s">
        <v>221</v>
      </c>
      <c r="N12" s="72" t="s">
        <v>222</v>
      </c>
    </row>
    <row r="13" spans="3:14" ht="15" thickBot="1" x14ac:dyDescent="0.35">
      <c r="C13" t="s">
        <v>203</v>
      </c>
      <c r="D13">
        <v>24</v>
      </c>
      <c r="E13" s="65">
        <f>Planilha1!AF55</f>
        <v>460</v>
      </c>
      <c r="F13" s="65"/>
      <c r="G13" s="65"/>
      <c r="H13" s="69" t="s">
        <v>72</v>
      </c>
      <c r="I13" s="71">
        <v>8</v>
      </c>
      <c r="J13" s="71" t="s">
        <v>223</v>
      </c>
      <c r="K13" s="71" t="s">
        <v>227</v>
      </c>
      <c r="L13" s="71" t="s">
        <v>225</v>
      </c>
      <c r="M13" s="71" t="s">
        <v>247</v>
      </c>
      <c r="N13" s="72" t="s">
        <v>248</v>
      </c>
    </row>
    <row r="14" spans="3:14" ht="15" thickBot="1" x14ac:dyDescent="0.35">
      <c r="H14" s="69" t="s">
        <v>203</v>
      </c>
      <c r="I14" s="71">
        <v>24</v>
      </c>
      <c r="J14" s="71" t="s">
        <v>249</v>
      </c>
      <c r="K14" s="71" t="s">
        <v>250</v>
      </c>
      <c r="L14" s="71" t="s">
        <v>251</v>
      </c>
      <c r="M14" s="71" t="s">
        <v>252</v>
      </c>
      <c r="N14" s="72" t="s">
        <v>253</v>
      </c>
    </row>
    <row r="15" spans="3:14" ht="28.2" thickBot="1" x14ac:dyDescent="0.35">
      <c r="H15" s="69" t="s">
        <v>77</v>
      </c>
      <c r="I15" s="69">
        <v>62</v>
      </c>
      <c r="J15" s="69" t="s">
        <v>254</v>
      </c>
      <c r="K15" s="69" t="s">
        <v>255</v>
      </c>
      <c r="L15" s="69" t="s">
        <v>256</v>
      </c>
      <c r="M15" s="69" t="s">
        <v>257</v>
      </c>
      <c r="N15" s="70" t="s">
        <v>258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8C61-D6DA-4432-90CE-7C56A5D96E4F}">
  <dimension ref="B1:Q95"/>
  <sheetViews>
    <sheetView topLeftCell="A17" zoomScale="63" zoomScaleNormal="103" workbookViewId="0">
      <selection activeCell="L93" sqref="L93"/>
    </sheetView>
  </sheetViews>
  <sheetFormatPr defaultRowHeight="14.4" x14ac:dyDescent="0.3"/>
  <cols>
    <col min="4" max="4" width="16.44140625" customWidth="1"/>
    <col min="6" max="6" width="13.109375" customWidth="1"/>
  </cols>
  <sheetData>
    <row r="1" spans="2:16" x14ac:dyDescent="0.3">
      <c r="K1" t="s">
        <v>77</v>
      </c>
    </row>
    <row r="2" spans="2:16" x14ac:dyDescent="0.3">
      <c r="C2" t="s">
        <v>263</v>
      </c>
      <c r="D2" t="s">
        <v>259</v>
      </c>
      <c r="E2" t="s">
        <v>56</v>
      </c>
      <c r="F2" t="s">
        <v>260</v>
      </c>
      <c r="G2" t="s">
        <v>261</v>
      </c>
      <c r="H2" t="s">
        <v>278</v>
      </c>
      <c r="I2" t="s">
        <v>262</v>
      </c>
      <c r="M2" t="s">
        <v>202</v>
      </c>
      <c r="O2" t="s">
        <v>275</v>
      </c>
      <c r="P2" t="s">
        <v>274</v>
      </c>
    </row>
    <row r="3" spans="2:16" x14ac:dyDescent="0.3">
      <c r="B3" t="s">
        <v>57</v>
      </c>
      <c r="C3" s="65">
        <f>Planilha4!N15</f>
        <v>412.38</v>
      </c>
      <c r="D3" s="65">
        <f>Planilha1!E56+Planilha1!I56</f>
        <v>182.80080000000012</v>
      </c>
      <c r="E3" s="65">
        <f>Planilha1!AI54</f>
        <v>780.65260000000023</v>
      </c>
      <c r="F3" s="65">
        <f>Planilha2!I15</f>
        <v>0</v>
      </c>
      <c r="G3" s="65">
        <f>P3</f>
        <v>3900</v>
      </c>
      <c r="H3" s="65">
        <f>E37*10</f>
        <v>350</v>
      </c>
      <c r="I3" s="65">
        <v>200</v>
      </c>
      <c r="K3" s="65">
        <f>SUM(C3:J3)</f>
        <v>5825.8334000000004</v>
      </c>
      <c r="L3" t="s">
        <v>57</v>
      </c>
      <c r="M3">
        <v>30</v>
      </c>
      <c r="N3">
        <f t="shared" ref="N3:N13" si="0">M3*75</f>
        <v>2250</v>
      </c>
      <c r="O3">
        <f t="shared" ref="O3:O13" si="1">M3*55</f>
        <v>1650</v>
      </c>
      <c r="P3">
        <f>N3+O3</f>
        <v>3900</v>
      </c>
    </row>
    <row r="4" spans="2:16" x14ac:dyDescent="0.3">
      <c r="B4" t="s">
        <v>59</v>
      </c>
      <c r="C4" s="65">
        <f>(Planilha4!N16)*6</f>
        <v>2474.2799999999997</v>
      </c>
      <c r="D4" s="65">
        <f>(Planilha1!Q56)*6</f>
        <v>470.05920000000032</v>
      </c>
      <c r="E4" s="65">
        <f>(Planilha1!AL54)*6</f>
        <v>1204.4354400000002</v>
      </c>
      <c r="F4" s="65">
        <f>(Planilha2!I7*2)*6</f>
        <v>1741.8000000000002</v>
      </c>
      <c r="G4" s="65">
        <f>P4</f>
        <v>2340</v>
      </c>
      <c r="H4" s="65">
        <f>(E38*10)*6</f>
        <v>540</v>
      </c>
      <c r="I4" s="65">
        <f>150*6</f>
        <v>900</v>
      </c>
      <c r="K4" s="65">
        <f>SUM(C4:J4)</f>
        <v>9670.5746399999989</v>
      </c>
      <c r="L4" t="s">
        <v>59</v>
      </c>
      <c r="M4">
        <v>18</v>
      </c>
      <c r="N4">
        <f t="shared" si="0"/>
        <v>1350</v>
      </c>
      <c r="O4">
        <f t="shared" si="1"/>
        <v>990</v>
      </c>
      <c r="P4">
        <f t="shared" ref="P4:P13" si="2">N4+O4</f>
        <v>2340</v>
      </c>
    </row>
    <row r="5" spans="2:16" x14ac:dyDescent="0.3">
      <c r="B5" t="s">
        <v>60</v>
      </c>
      <c r="C5" s="65">
        <v>0</v>
      </c>
      <c r="D5" s="65">
        <f>Planilha1!U56+Planilha1!E84</f>
        <v>481.85280000000023</v>
      </c>
      <c r="E5" s="65">
        <f>Planilha1!AO54</f>
        <v>713.73952000000008</v>
      </c>
      <c r="F5" s="65">
        <f>Planilha2!I12</f>
        <v>72.58</v>
      </c>
      <c r="G5" s="65">
        <v>0</v>
      </c>
      <c r="H5" s="65">
        <f t="shared" ref="H5:H12" si="3">E39*10</f>
        <v>320</v>
      </c>
      <c r="I5" s="65">
        <v>540</v>
      </c>
      <c r="K5" s="65">
        <f t="shared" ref="K5:K13" si="4">SUM(C5:J5)</f>
        <v>2128.1723200000001</v>
      </c>
      <c r="L5" t="s">
        <v>60</v>
      </c>
      <c r="N5">
        <f t="shared" si="0"/>
        <v>0</v>
      </c>
      <c r="O5">
        <f t="shared" si="1"/>
        <v>0</v>
      </c>
      <c r="P5">
        <f t="shared" si="2"/>
        <v>0</v>
      </c>
    </row>
    <row r="6" spans="2:16" x14ac:dyDescent="0.3">
      <c r="B6" t="s">
        <v>61</v>
      </c>
      <c r="C6" s="65">
        <f>Planilha4!N23</f>
        <v>1299.78</v>
      </c>
      <c r="D6" s="65">
        <f>Planilha1!I70</f>
        <v>305.8848000000001</v>
      </c>
      <c r="E6" s="65">
        <f>Planilha1!AR54</f>
        <v>780.65260000000023</v>
      </c>
      <c r="F6" s="65">
        <f>Planilha2!I11</f>
        <v>169.34</v>
      </c>
      <c r="G6" s="65">
        <v>1200</v>
      </c>
      <c r="H6" s="65">
        <f t="shared" si="3"/>
        <v>350</v>
      </c>
      <c r="I6" s="65">
        <v>200</v>
      </c>
      <c r="K6" s="65">
        <f>SUM(C6:J6)</f>
        <v>4305.6574000000001</v>
      </c>
      <c r="L6" t="s">
        <v>61</v>
      </c>
      <c r="M6">
        <v>8</v>
      </c>
      <c r="N6">
        <f t="shared" si="0"/>
        <v>600</v>
      </c>
      <c r="O6">
        <f t="shared" si="1"/>
        <v>440</v>
      </c>
      <c r="P6">
        <f t="shared" si="2"/>
        <v>1040</v>
      </c>
    </row>
    <row r="7" spans="2:16" x14ac:dyDescent="0.3">
      <c r="B7" t="s">
        <v>62</v>
      </c>
      <c r="C7" s="65">
        <f>Planilha4!N35</f>
        <v>618.57000000000005</v>
      </c>
      <c r="D7" s="65">
        <f>Planilha1!M84</f>
        <v>141.52320000000006</v>
      </c>
      <c r="E7" s="65">
        <f>Planilha1!AU54</f>
        <v>267.65232000000009</v>
      </c>
      <c r="F7" s="65">
        <f>Planilha2!I8</f>
        <v>145.15</v>
      </c>
      <c r="G7" s="65">
        <v>0</v>
      </c>
      <c r="H7" s="65">
        <f t="shared" si="3"/>
        <v>120</v>
      </c>
      <c r="I7" s="65">
        <v>0</v>
      </c>
      <c r="K7" s="65">
        <f t="shared" si="4"/>
        <v>1292.8955200000003</v>
      </c>
      <c r="L7" t="s">
        <v>62</v>
      </c>
      <c r="N7">
        <f t="shared" si="0"/>
        <v>0</v>
      </c>
      <c r="O7">
        <f t="shared" si="1"/>
        <v>0</v>
      </c>
      <c r="P7">
        <f t="shared" si="2"/>
        <v>0</v>
      </c>
    </row>
    <row r="8" spans="2:16" x14ac:dyDescent="0.3">
      <c r="B8" t="s">
        <v>68</v>
      </c>
      <c r="C8" s="65">
        <f>Planilha4!N26</f>
        <v>1299.78</v>
      </c>
      <c r="D8" s="65">
        <f>Planilha1!M84</f>
        <v>141.52320000000006</v>
      </c>
      <c r="E8" s="65">
        <f>Planilha1!AI67</f>
        <v>334.56540000000007</v>
      </c>
      <c r="F8" s="65">
        <f>Planilha2!I7</f>
        <v>145.15</v>
      </c>
      <c r="G8" s="65">
        <f>P8</f>
        <v>520</v>
      </c>
      <c r="H8" s="65">
        <f t="shared" si="3"/>
        <v>150</v>
      </c>
      <c r="I8" s="65">
        <v>200</v>
      </c>
      <c r="K8" s="65">
        <f t="shared" si="4"/>
        <v>2791.0186000000003</v>
      </c>
      <c r="L8" t="s">
        <v>68</v>
      </c>
      <c r="M8">
        <v>4</v>
      </c>
      <c r="N8">
        <f t="shared" si="0"/>
        <v>300</v>
      </c>
      <c r="O8">
        <f t="shared" si="1"/>
        <v>220</v>
      </c>
      <c r="P8">
        <f t="shared" si="2"/>
        <v>520</v>
      </c>
    </row>
    <row r="9" spans="2:16" x14ac:dyDescent="0.3">
      <c r="B9" t="s">
        <v>69</v>
      </c>
      <c r="C9" s="65">
        <f>Planilha4!N33</f>
        <v>412.38</v>
      </c>
      <c r="D9" s="65">
        <f>Planilha1!M84</f>
        <v>141.52320000000006</v>
      </c>
      <c r="E9" s="65">
        <f>Planilha1!AL67</f>
        <v>267.65232000000009</v>
      </c>
      <c r="F9" s="65">
        <f>Planilha2!I13</f>
        <v>72.58</v>
      </c>
      <c r="G9" s="65">
        <v>0</v>
      </c>
      <c r="H9" s="65">
        <f t="shared" si="3"/>
        <v>120</v>
      </c>
      <c r="I9" s="65">
        <v>0</v>
      </c>
      <c r="K9" s="65">
        <f t="shared" si="4"/>
        <v>1014.1355200000002</v>
      </c>
      <c r="L9" t="s">
        <v>69</v>
      </c>
      <c r="N9">
        <f t="shared" si="0"/>
        <v>0</v>
      </c>
      <c r="O9">
        <f t="shared" si="1"/>
        <v>0</v>
      </c>
      <c r="P9">
        <f t="shared" si="2"/>
        <v>0</v>
      </c>
    </row>
    <row r="10" spans="2:16" x14ac:dyDescent="0.3">
      <c r="B10" t="s">
        <v>70</v>
      </c>
      <c r="C10" s="65">
        <f>Planilha4!N28</f>
        <v>1949.67</v>
      </c>
      <c r="D10" s="65">
        <f>Planilha1!Q84+Planilha1!E98</f>
        <v>456.01920000000018</v>
      </c>
      <c r="E10" s="65">
        <f>Planilha1!AO67</f>
        <v>557.60900000000015</v>
      </c>
      <c r="F10" s="65">
        <f>Planilha2!I10</f>
        <v>0</v>
      </c>
      <c r="G10" s="65">
        <f>P10</f>
        <v>780</v>
      </c>
      <c r="H10" s="65">
        <f t="shared" si="3"/>
        <v>250</v>
      </c>
      <c r="I10" s="65">
        <v>500</v>
      </c>
      <c r="K10" s="65">
        <f t="shared" si="4"/>
        <v>4493.2982000000002</v>
      </c>
      <c r="L10" t="s">
        <v>70</v>
      </c>
      <c r="M10">
        <v>6</v>
      </c>
      <c r="N10">
        <f t="shared" si="0"/>
        <v>450</v>
      </c>
      <c r="O10">
        <f t="shared" si="1"/>
        <v>330</v>
      </c>
      <c r="P10">
        <f t="shared" si="2"/>
        <v>780</v>
      </c>
    </row>
    <row r="11" spans="2:16" x14ac:dyDescent="0.3">
      <c r="B11" t="s">
        <v>71</v>
      </c>
      <c r="C11" s="65">
        <f>(Planilha4!N13)*7</f>
        <v>3800.16</v>
      </c>
      <c r="D11" s="65">
        <f>(Planilha1!I98)*7</f>
        <v>623.75040000000035</v>
      </c>
      <c r="E11" s="65">
        <f>(Planilha1!AR67)*7</f>
        <v>1405.1746800000003</v>
      </c>
      <c r="F11" s="65">
        <f>Planilha2!I10</f>
        <v>0</v>
      </c>
      <c r="G11" s="65">
        <f>P11</f>
        <v>2730</v>
      </c>
      <c r="H11" s="65">
        <f>(E45*10)*7</f>
        <v>630</v>
      </c>
      <c r="I11" s="65">
        <f>E28</f>
        <v>1050</v>
      </c>
      <c r="K11" s="65">
        <f t="shared" si="4"/>
        <v>10239.085080000001</v>
      </c>
      <c r="L11" t="s">
        <v>71</v>
      </c>
      <c r="M11">
        <v>21</v>
      </c>
      <c r="N11">
        <f t="shared" si="0"/>
        <v>1575</v>
      </c>
      <c r="O11">
        <f t="shared" si="1"/>
        <v>1155</v>
      </c>
      <c r="P11">
        <f t="shared" si="2"/>
        <v>2730</v>
      </c>
    </row>
    <row r="12" spans="2:16" x14ac:dyDescent="0.3">
      <c r="B12" t="s">
        <v>72</v>
      </c>
      <c r="C12" s="65">
        <f>Planilha4!N35</f>
        <v>618.57000000000005</v>
      </c>
      <c r="D12" s="65">
        <f>Planilha1!Q84+Planilha1!Q98</f>
        <v>408.84480000000019</v>
      </c>
      <c r="E12" s="65">
        <f>(Planilha1!AU67)</f>
        <v>713.73952000000008</v>
      </c>
      <c r="F12" s="65">
        <f>Planilha2!I14</f>
        <v>0</v>
      </c>
      <c r="G12" s="65">
        <v>1200</v>
      </c>
      <c r="H12" s="65">
        <f t="shared" si="3"/>
        <v>320</v>
      </c>
      <c r="I12" s="65">
        <v>200</v>
      </c>
      <c r="K12" s="65">
        <f t="shared" si="4"/>
        <v>3461.1543200000006</v>
      </c>
      <c r="L12" t="s">
        <v>72</v>
      </c>
      <c r="M12">
        <v>8</v>
      </c>
      <c r="N12">
        <f t="shared" si="0"/>
        <v>600</v>
      </c>
      <c r="O12">
        <f t="shared" si="1"/>
        <v>440</v>
      </c>
      <c r="P12">
        <f t="shared" si="2"/>
        <v>1040</v>
      </c>
    </row>
    <row r="13" spans="2:16" x14ac:dyDescent="0.3">
      <c r="B13" t="s">
        <v>203</v>
      </c>
      <c r="C13" s="65">
        <v>0</v>
      </c>
      <c r="D13" s="65">
        <f>Planilha1!I56+Planilha1!Q56+Planilha1!M98</f>
        <v>224.92080000000013</v>
      </c>
      <c r="E13" s="65">
        <f>Planilha1!AX67</f>
        <v>10260.005600000002</v>
      </c>
      <c r="F13" s="65">
        <v>0</v>
      </c>
      <c r="G13" s="65">
        <f>P13</f>
        <v>3120</v>
      </c>
      <c r="H13" s="65">
        <f>(E47*10)</f>
        <v>4600</v>
      </c>
      <c r="I13" s="65">
        <v>3168</v>
      </c>
      <c r="K13" s="65">
        <f t="shared" si="4"/>
        <v>21372.926400000004</v>
      </c>
      <c r="L13" t="s">
        <v>203</v>
      </c>
      <c r="M13">
        <v>24</v>
      </c>
      <c r="N13">
        <f t="shared" si="0"/>
        <v>1800</v>
      </c>
      <c r="O13">
        <f t="shared" si="1"/>
        <v>1320</v>
      </c>
      <c r="P13">
        <f t="shared" si="2"/>
        <v>3120</v>
      </c>
    </row>
    <row r="14" spans="2:16" x14ac:dyDescent="0.3">
      <c r="C14" s="65">
        <f t="shared" ref="C14:G14" si="5">SUM(C3:C13)</f>
        <v>12885.57</v>
      </c>
      <c r="D14" s="65">
        <f t="shared" si="5"/>
        <v>3578.7024000000024</v>
      </c>
      <c r="E14" s="65">
        <f t="shared" si="5"/>
        <v>17285.879000000004</v>
      </c>
      <c r="F14" s="65">
        <f t="shared" si="5"/>
        <v>2346.6</v>
      </c>
      <c r="G14" s="65">
        <f t="shared" si="5"/>
        <v>15790</v>
      </c>
      <c r="H14" s="65"/>
      <c r="I14" s="65">
        <f>SUM(I3:I13)</f>
        <v>6958</v>
      </c>
      <c r="K14" s="65">
        <f>SUM(K3:K13)</f>
        <v>66594.751400000008</v>
      </c>
      <c r="N14" t="s">
        <v>276</v>
      </c>
      <c r="O14">
        <f>SUM(O3:O13)</f>
        <v>6545</v>
      </c>
      <c r="P14">
        <f>SUM(P3:P13)</f>
        <v>15470</v>
      </c>
    </row>
    <row r="15" spans="2:16" x14ac:dyDescent="0.3">
      <c r="K15" s="65"/>
    </row>
    <row r="18" spans="2:5" x14ac:dyDescent="0.3">
      <c r="B18" t="s">
        <v>269</v>
      </c>
    </row>
    <row r="19" spans="2:5" x14ac:dyDescent="0.3">
      <c r="C19" t="s">
        <v>273</v>
      </c>
      <c r="D19" t="s">
        <v>271</v>
      </c>
      <c r="E19" t="s">
        <v>272</v>
      </c>
    </row>
    <row r="20" spans="2:5" x14ac:dyDescent="0.3">
      <c r="B20" t="s">
        <v>57</v>
      </c>
      <c r="C20">
        <v>1</v>
      </c>
      <c r="D20">
        <v>500</v>
      </c>
      <c r="E20" s="65">
        <f>C20*D20</f>
        <v>500</v>
      </c>
    </row>
    <row r="21" spans="2:5" x14ac:dyDescent="0.3">
      <c r="B21" t="s">
        <v>59</v>
      </c>
      <c r="C21">
        <v>1</v>
      </c>
      <c r="D21">
        <v>150</v>
      </c>
      <c r="E21" s="65">
        <f>150*6</f>
        <v>900</v>
      </c>
    </row>
    <row r="22" spans="2:5" x14ac:dyDescent="0.3">
      <c r="B22" t="s">
        <v>60</v>
      </c>
      <c r="C22">
        <v>1</v>
      </c>
      <c r="D22">
        <v>540</v>
      </c>
      <c r="E22" s="65">
        <v>540</v>
      </c>
    </row>
    <row r="23" spans="2:5" x14ac:dyDescent="0.3">
      <c r="B23" t="s">
        <v>61</v>
      </c>
      <c r="C23">
        <v>8</v>
      </c>
      <c r="D23">
        <v>150</v>
      </c>
      <c r="E23" s="65">
        <f>C23*D23</f>
        <v>1200</v>
      </c>
    </row>
    <row r="24" spans="2:5" x14ac:dyDescent="0.3">
      <c r="B24" t="s">
        <v>62</v>
      </c>
      <c r="C24">
        <v>0</v>
      </c>
      <c r="D24">
        <v>0</v>
      </c>
      <c r="E24" s="65">
        <v>0</v>
      </c>
    </row>
    <row r="25" spans="2:5" x14ac:dyDescent="0.3">
      <c r="B25" t="s">
        <v>68</v>
      </c>
      <c r="C25">
        <v>4</v>
      </c>
      <c r="D25">
        <v>150</v>
      </c>
      <c r="E25" s="65">
        <f>C25*D25</f>
        <v>600</v>
      </c>
    </row>
    <row r="26" spans="2:5" x14ac:dyDescent="0.3">
      <c r="B26" t="s">
        <v>69</v>
      </c>
      <c r="C26">
        <v>0</v>
      </c>
      <c r="D26">
        <v>0</v>
      </c>
      <c r="E26" s="65">
        <v>0</v>
      </c>
    </row>
    <row r="27" spans="2:5" x14ac:dyDescent="0.3">
      <c r="B27" t="s">
        <v>70</v>
      </c>
      <c r="C27">
        <v>1</v>
      </c>
      <c r="D27">
        <v>500</v>
      </c>
      <c r="E27" s="65">
        <v>500</v>
      </c>
    </row>
    <row r="28" spans="2:5" x14ac:dyDescent="0.3">
      <c r="B28" t="s">
        <v>71</v>
      </c>
      <c r="C28">
        <v>1</v>
      </c>
      <c r="D28">
        <v>150</v>
      </c>
      <c r="E28" s="65">
        <f>150*7</f>
        <v>1050</v>
      </c>
    </row>
    <row r="29" spans="2:5" x14ac:dyDescent="0.3">
      <c r="B29" t="s">
        <v>72</v>
      </c>
      <c r="C29">
        <v>8</v>
      </c>
      <c r="D29">
        <v>150</v>
      </c>
      <c r="E29" s="65">
        <f>C29*D29</f>
        <v>1200</v>
      </c>
    </row>
    <row r="30" spans="2:5" x14ac:dyDescent="0.3">
      <c r="B30" t="s">
        <v>203</v>
      </c>
      <c r="C30">
        <v>16</v>
      </c>
      <c r="D30">
        <v>150</v>
      </c>
      <c r="E30" s="65">
        <f>C30*D30</f>
        <v>2400</v>
      </c>
    </row>
    <row r="31" spans="2:5" x14ac:dyDescent="0.3">
      <c r="D31" t="s">
        <v>270</v>
      </c>
      <c r="E31" s="65">
        <f>SUM(E20:E30)</f>
        <v>8890</v>
      </c>
    </row>
    <row r="34" spans="2:9" ht="15" thickBot="1" x14ac:dyDescent="0.35">
      <c r="H34" t="s">
        <v>66</v>
      </c>
      <c r="I34" t="s">
        <v>277</v>
      </c>
    </row>
    <row r="35" spans="2:9" x14ac:dyDescent="0.3">
      <c r="B35" s="40" t="s">
        <v>56</v>
      </c>
      <c r="C35" s="48"/>
      <c r="D35" s="48"/>
      <c r="E35" s="46"/>
      <c r="G35" s="43" t="s">
        <v>57</v>
      </c>
      <c r="H35">
        <v>35</v>
      </c>
      <c r="I35">
        <v>350</v>
      </c>
    </row>
    <row r="36" spans="2:9" x14ac:dyDescent="0.3">
      <c r="B36" s="43"/>
      <c r="C36" s="1" t="s">
        <v>64</v>
      </c>
      <c r="D36" s="1" t="s">
        <v>65</v>
      </c>
      <c r="E36" s="41" t="s">
        <v>66</v>
      </c>
      <c r="G36" s="43" t="s">
        <v>59</v>
      </c>
      <c r="H36">
        <v>9</v>
      </c>
      <c r="I36">
        <v>540</v>
      </c>
    </row>
    <row r="37" spans="2:9" x14ac:dyDescent="0.3">
      <c r="B37" s="43" t="s">
        <v>57</v>
      </c>
      <c r="C37" s="1">
        <v>5</v>
      </c>
      <c r="D37" s="1">
        <v>7</v>
      </c>
      <c r="E37" s="41">
        <f>C37*D37</f>
        <v>35</v>
      </c>
      <c r="G37" s="43" t="s">
        <v>60</v>
      </c>
      <c r="H37">
        <v>32</v>
      </c>
      <c r="I37">
        <v>320</v>
      </c>
    </row>
    <row r="38" spans="2:9" x14ac:dyDescent="0.3">
      <c r="B38" s="43" t="s">
        <v>59</v>
      </c>
      <c r="C38" s="1">
        <v>3</v>
      </c>
      <c r="D38" s="1">
        <v>3</v>
      </c>
      <c r="E38" s="41">
        <f t="shared" ref="E38:E46" si="6">C38*D38</f>
        <v>9</v>
      </c>
      <c r="G38" s="43" t="s">
        <v>61</v>
      </c>
      <c r="H38">
        <v>35</v>
      </c>
      <c r="I38">
        <v>350</v>
      </c>
    </row>
    <row r="39" spans="2:9" x14ac:dyDescent="0.3">
      <c r="B39" s="43" t="s">
        <v>60</v>
      </c>
      <c r="C39" s="1">
        <v>4</v>
      </c>
      <c r="D39" s="1">
        <v>8</v>
      </c>
      <c r="E39" s="41">
        <f t="shared" si="6"/>
        <v>32</v>
      </c>
      <c r="G39" s="43" t="s">
        <v>62</v>
      </c>
      <c r="H39">
        <v>12</v>
      </c>
      <c r="I39">
        <v>120</v>
      </c>
    </row>
    <row r="40" spans="2:9" x14ac:dyDescent="0.3">
      <c r="B40" s="43" t="s">
        <v>61</v>
      </c>
      <c r="C40" s="1">
        <v>5</v>
      </c>
      <c r="D40" s="1">
        <v>7</v>
      </c>
      <c r="E40" s="41">
        <f t="shared" si="6"/>
        <v>35</v>
      </c>
      <c r="G40" s="43" t="s">
        <v>68</v>
      </c>
      <c r="H40">
        <v>15</v>
      </c>
      <c r="I40">
        <v>150</v>
      </c>
    </row>
    <row r="41" spans="2:9" x14ac:dyDescent="0.3">
      <c r="B41" s="43" t="s">
        <v>62</v>
      </c>
      <c r="C41" s="1">
        <v>4</v>
      </c>
      <c r="D41" s="1">
        <v>3</v>
      </c>
      <c r="E41" s="41">
        <f t="shared" si="6"/>
        <v>12</v>
      </c>
      <c r="G41" s="43" t="s">
        <v>69</v>
      </c>
      <c r="H41">
        <v>12</v>
      </c>
      <c r="I41">
        <v>120</v>
      </c>
    </row>
    <row r="42" spans="2:9" x14ac:dyDescent="0.3">
      <c r="B42" s="43" t="s">
        <v>68</v>
      </c>
      <c r="C42" s="1">
        <v>5</v>
      </c>
      <c r="D42" s="1">
        <v>3</v>
      </c>
      <c r="E42" s="41">
        <f t="shared" si="6"/>
        <v>15</v>
      </c>
      <c r="G42" s="43" t="s">
        <v>70</v>
      </c>
      <c r="H42">
        <v>25</v>
      </c>
      <c r="I42">
        <v>250</v>
      </c>
    </row>
    <row r="43" spans="2:9" x14ac:dyDescent="0.3">
      <c r="B43" s="43" t="s">
        <v>69</v>
      </c>
      <c r="C43" s="1">
        <v>4</v>
      </c>
      <c r="D43" s="1">
        <v>3</v>
      </c>
      <c r="E43" s="41">
        <f t="shared" si="6"/>
        <v>12</v>
      </c>
      <c r="G43" s="43" t="s">
        <v>71</v>
      </c>
      <c r="H43">
        <v>9</v>
      </c>
      <c r="I43">
        <f>90*7</f>
        <v>630</v>
      </c>
    </row>
    <row r="44" spans="2:9" ht="15" thickBot="1" x14ac:dyDescent="0.35">
      <c r="B44" s="43" t="s">
        <v>70</v>
      </c>
      <c r="C44" s="1">
        <v>5</v>
      </c>
      <c r="D44" s="1">
        <v>5</v>
      </c>
      <c r="E44" s="41">
        <f t="shared" si="6"/>
        <v>25</v>
      </c>
      <c r="G44" s="47" t="s">
        <v>72</v>
      </c>
      <c r="H44">
        <v>32</v>
      </c>
      <c r="I44">
        <v>320</v>
      </c>
    </row>
    <row r="45" spans="2:9" x14ac:dyDescent="0.3">
      <c r="B45" s="43" t="s">
        <v>71</v>
      </c>
      <c r="C45" s="1">
        <v>3</v>
      </c>
      <c r="D45" s="1">
        <v>3</v>
      </c>
      <c r="E45" s="41">
        <f t="shared" si="6"/>
        <v>9</v>
      </c>
      <c r="G45" s="67" t="s">
        <v>203</v>
      </c>
      <c r="H45">
        <v>460</v>
      </c>
      <c r="I45">
        <v>4600</v>
      </c>
    </row>
    <row r="46" spans="2:9" ht="15" thickBot="1" x14ac:dyDescent="0.35">
      <c r="B46" s="47" t="s">
        <v>72</v>
      </c>
      <c r="C46" s="49">
        <v>4</v>
      </c>
      <c r="D46" s="49">
        <v>8</v>
      </c>
      <c r="E46" s="42">
        <f t="shared" si="6"/>
        <v>32</v>
      </c>
      <c r="G46" s="67" t="s">
        <v>270</v>
      </c>
      <c r="I46">
        <f>SUM(I35:I45)</f>
        <v>7750</v>
      </c>
    </row>
    <row r="47" spans="2:9" x14ac:dyDescent="0.3">
      <c r="B47" s="67" t="s">
        <v>203</v>
      </c>
      <c r="C47" s="68">
        <v>23</v>
      </c>
      <c r="D47" s="68">
        <v>20</v>
      </c>
      <c r="E47" s="66">
        <f>C47*D47</f>
        <v>460</v>
      </c>
    </row>
    <row r="83" spans="3:17" x14ac:dyDescent="0.3">
      <c r="D83" t="s">
        <v>263</v>
      </c>
      <c r="E83" t="s">
        <v>259</v>
      </c>
      <c r="G83" t="s">
        <v>260</v>
      </c>
      <c r="H83" t="s">
        <v>261</v>
      </c>
      <c r="I83" t="s">
        <v>278</v>
      </c>
      <c r="J83" t="s">
        <v>262</v>
      </c>
      <c r="N83" t="s">
        <v>202</v>
      </c>
      <c r="P83" t="s">
        <v>275</v>
      </c>
      <c r="Q83" t="s">
        <v>274</v>
      </c>
    </row>
    <row r="84" spans="3:17" x14ac:dyDescent="0.3">
      <c r="C84" t="s">
        <v>57</v>
      </c>
      <c r="D84">
        <v>412.38</v>
      </c>
      <c r="E84">
        <v>182.80080000000012</v>
      </c>
      <c r="G84">
        <v>0</v>
      </c>
      <c r="H84">
        <v>3900</v>
      </c>
      <c r="I84">
        <v>350</v>
      </c>
      <c r="J84">
        <v>200</v>
      </c>
      <c r="L84">
        <f>SUM(D84:K84)</f>
        <v>5045.1808000000001</v>
      </c>
      <c r="M84" t="s">
        <v>57</v>
      </c>
      <c r="N84">
        <v>30</v>
      </c>
      <c r="O84">
        <v>2250</v>
      </c>
      <c r="P84">
        <v>1650</v>
      </c>
      <c r="Q84">
        <v>3900</v>
      </c>
    </row>
    <row r="85" spans="3:17" x14ac:dyDescent="0.3">
      <c r="C85" t="s">
        <v>59</v>
      </c>
      <c r="D85">
        <v>2474.2799999999997</v>
      </c>
      <c r="E85">
        <v>470.05920000000032</v>
      </c>
      <c r="G85">
        <v>1741.8000000000002</v>
      </c>
      <c r="H85">
        <v>2340</v>
      </c>
      <c r="I85">
        <v>540</v>
      </c>
      <c r="J85">
        <v>900</v>
      </c>
      <c r="L85">
        <f>SUM(D85:K85)</f>
        <v>8466.1391999999996</v>
      </c>
      <c r="M85" t="s">
        <v>59</v>
      </c>
      <c r="N85">
        <v>18</v>
      </c>
      <c r="O85">
        <v>1350</v>
      </c>
      <c r="P85">
        <v>990</v>
      </c>
      <c r="Q85">
        <v>2340</v>
      </c>
    </row>
    <row r="86" spans="3:17" x14ac:dyDescent="0.3">
      <c r="C86" t="s">
        <v>60</v>
      </c>
      <c r="D86">
        <v>0</v>
      </c>
      <c r="E86">
        <v>481.85280000000023</v>
      </c>
      <c r="G86">
        <v>72.58</v>
      </c>
      <c r="H86">
        <v>0</v>
      </c>
      <c r="I86">
        <v>320</v>
      </c>
      <c r="J86">
        <v>540</v>
      </c>
      <c r="L86">
        <f t="shared" ref="L86:L94" si="7">SUM(D86:K86)</f>
        <v>1414.4328000000003</v>
      </c>
      <c r="M86" t="s">
        <v>60</v>
      </c>
      <c r="O86">
        <v>0</v>
      </c>
      <c r="P86">
        <v>0</v>
      </c>
      <c r="Q86">
        <v>0</v>
      </c>
    </row>
    <row r="87" spans="3:17" x14ac:dyDescent="0.3">
      <c r="C87" t="s">
        <v>61</v>
      </c>
      <c r="D87">
        <v>1299.78</v>
      </c>
      <c r="E87">
        <v>305.8848000000001</v>
      </c>
      <c r="G87">
        <v>169.34</v>
      </c>
      <c r="H87">
        <v>1200</v>
      </c>
      <c r="I87">
        <v>350</v>
      </c>
      <c r="J87">
        <v>200</v>
      </c>
      <c r="L87">
        <f t="shared" si="7"/>
        <v>3525.0047999999997</v>
      </c>
      <c r="M87" t="s">
        <v>61</v>
      </c>
      <c r="N87">
        <v>8</v>
      </c>
      <c r="O87">
        <v>600</v>
      </c>
      <c r="P87">
        <v>440</v>
      </c>
      <c r="Q87">
        <v>1040</v>
      </c>
    </row>
    <row r="88" spans="3:17" x14ac:dyDescent="0.3">
      <c r="C88" t="s">
        <v>62</v>
      </c>
      <c r="D88">
        <v>618.57000000000005</v>
      </c>
      <c r="E88">
        <v>141.52320000000006</v>
      </c>
      <c r="G88">
        <v>145.15</v>
      </c>
      <c r="H88">
        <v>0</v>
      </c>
      <c r="I88">
        <v>120</v>
      </c>
      <c r="J88">
        <v>0</v>
      </c>
      <c r="L88">
        <f t="shared" si="7"/>
        <v>1025.2432000000001</v>
      </c>
      <c r="M88" t="s">
        <v>62</v>
      </c>
      <c r="O88">
        <v>0</v>
      </c>
      <c r="P88">
        <v>0</v>
      </c>
      <c r="Q88">
        <v>0</v>
      </c>
    </row>
    <row r="89" spans="3:17" x14ac:dyDescent="0.3">
      <c r="C89" t="s">
        <v>68</v>
      </c>
      <c r="D89">
        <v>1299.78</v>
      </c>
      <c r="E89">
        <v>141.52320000000006</v>
      </c>
      <c r="G89">
        <v>145.15</v>
      </c>
      <c r="H89">
        <v>520</v>
      </c>
      <c r="I89">
        <v>150</v>
      </c>
      <c r="J89">
        <v>200</v>
      </c>
      <c r="L89">
        <f t="shared" si="7"/>
        <v>2456.4531999999999</v>
      </c>
      <c r="M89" t="s">
        <v>68</v>
      </c>
      <c r="N89">
        <v>4</v>
      </c>
      <c r="O89">
        <v>300</v>
      </c>
      <c r="P89">
        <v>220</v>
      </c>
      <c r="Q89">
        <v>520</v>
      </c>
    </row>
    <row r="90" spans="3:17" x14ac:dyDescent="0.3">
      <c r="C90" t="s">
        <v>69</v>
      </c>
      <c r="D90">
        <v>412.38</v>
      </c>
      <c r="E90">
        <v>141.52320000000006</v>
      </c>
      <c r="G90">
        <v>72.58</v>
      </c>
      <c r="H90">
        <v>0</v>
      </c>
      <c r="I90">
        <v>120</v>
      </c>
      <c r="J90">
        <v>0</v>
      </c>
      <c r="L90">
        <f t="shared" si="7"/>
        <v>746.48320000000012</v>
      </c>
      <c r="M90" t="s">
        <v>69</v>
      </c>
      <c r="O90">
        <v>0</v>
      </c>
      <c r="P90">
        <v>0</v>
      </c>
      <c r="Q90">
        <v>0</v>
      </c>
    </row>
    <row r="91" spans="3:17" x14ac:dyDescent="0.3">
      <c r="C91" t="s">
        <v>70</v>
      </c>
      <c r="D91">
        <v>1949.67</v>
      </c>
      <c r="E91">
        <v>456.01920000000018</v>
      </c>
      <c r="G91">
        <v>0</v>
      </c>
      <c r="H91">
        <v>780</v>
      </c>
      <c r="I91">
        <v>250</v>
      </c>
      <c r="J91">
        <v>500</v>
      </c>
      <c r="L91">
        <f t="shared" si="7"/>
        <v>3935.6892000000003</v>
      </c>
      <c r="M91" t="s">
        <v>70</v>
      </c>
      <c r="N91">
        <v>6</v>
      </c>
      <c r="O91">
        <v>450</v>
      </c>
      <c r="P91">
        <v>330</v>
      </c>
      <c r="Q91">
        <v>780</v>
      </c>
    </row>
    <row r="92" spans="3:17" x14ac:dyDescent="0.3">
      <c r="C92" t="s">
        <v>71</v>
      </c>
      <c r="D92">
        <v>3800.16</v>
      </c>
      <c r="E92">
        <v>623.75040000000035</v>
      </c>
      <c r="G92">
        <v>0</v>
      </c>
      <c r="H92">
        <v>2730</v>
      </c>
      <c r="I92">
        <v>630</v>
      </c>
      <c r="J92">
        <v>1050</v>
      </c>
      <c r="L92">
        <f t="shared" si="7"/>
        <v>8833.9104000000007</v>
      </c>
      <c r="M92" t="s">
        <v>71</v>
      </c>
      <c r="N92">
        <v>21</v>
      </c>
      <c r="O92">
        <v>1575</v>
      </c>
      <c r="P92">
        <v>1155</v>
      </c>
      <c r="Q92">
        <v>2730</v>
      </c>
    </row>
    <row r="93" spans="3:17" x14ac:dyDescent="0.3">
      <c r="C93" t="s">
        <v>72</v>
      </c>
      <c r="D93">
        <v>618.57000000000005</v>
      </c>
      <c r="E93">
        <v>408.84480000000019</v>
      </c>
      <c r="G93">
        <v>0</v>
      </c>
      <c r="H93">
        <v>1200</v>
      </c>
      <c r="I93">
        <v>320</v>
      </c>
      <c r="J93">
        <v>200</v>
      </c>
      <c r="L93">
        <f t="shared" si="7"/>
        <v>2747.4148000000005</v>
      </c>
      <c r="M93" t="s">
        <v>72</v>
      </c>
      <c r="N93">
        <v>8</v>
      </c>
      <c r="O93">
        <v>600</v>
      </c>
      <c r="P93">
        <v>440</v>
      </c>
      <c r="Q93">
        <v>1040</v>
      </c>
    </row>
    <row r="94" spans="3:17" x14ac:dyDescent="0.3">
      <c r="C94" t="s">
        <v>203</v>
      </c>
      <c r="D94">
        <v>0</v>
      </c>
      <c r="E94">
        <v>224.92080000000013</v>
      </c>
      <c r="G94">
        <v>0</v>
      </c>
      <c r="H94">
        <v>3120</v>
      </c>
      <c r="I94">
        <v>4600</v>
      </c>
      <c r="J94">
        <v>3168</v>
      </c>
      <c r="L94">
        <f t="shared" si="7"/>
        <v>11112.9208</v>
      </c>
      <c r="M94" t="s">
        <v>203</v>
      </c>
      <c r="N94">
        <v>24</v>
      </c>
      <c r="O94">
        <v>1800</v>
      </c>
      <c r="P94">
        <v>1320</v>
      </c>
      <c r="Q94">
        <v>3120</v>
      </c>
    </row>
    <row r="95" spans="3:17" x14ac:dyDescent="0.3">
      <c r="D95">
        <v>12885.57</v>
      </c>
      <c r="E95">
        <v>3578.7024000000024</v>
      </c>
      <c r="G95">
        <v>2346.6</v>
      </c>
      <c r="H95">
        <v>15790</v>
      </c>
      <c r="J95">
        <v>6958</v>
      </c>
      <c r="L95">
        <f>SUM(L84:L94)</f>
        <v>49308.8724</v>
      </c>
      <c r="O95" t="s">
        <v>276</v>
      </c>
      <c r="P95">
        <v>6545</v>
      </c>
      <c r="Q95">
        <v>15470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EB05B-46A4-463D-8BBB-CDACED30E55B}">
  <dimension ref="A1:AE55"/>
  <sheetViews>
    <sheetView tabSelected="1" topLeftCell="K1" zoomScale="102" zoomScaleNormal="110" workbookViewId="0">
      <selection activeCell="O14" sqref="O14"/>
    </sheetView>
  </sheetViews>
  <sheetFormatPr defaultRowHeight="14.4" x14ac:dyDescent="0.3"/>
  <cols>
    <col min="2" max="2" width="12.5546875" customWidth="1"/>
    <col min="6" max="6" width="9" customWidth="1"/>
    <col min="10" max="10" width="11" bestFit="1" customWidth="1"/>
  </cols>
  <sheetData>
    <row r="1" spans="1:31" x14ac:dyDescent="0.3">
      <c r="B1" s="74" t="s">
        <v>281</v>
      </c>
      <c r="C1" s="74">
        <f>(0.622*(C2/(C3-C2)))</f>
        <v>1.8880761522027174E-2</v>
      </c>
      <c r="E1" s="74" t="s">
        <v>281</v>
      </c>
      <c r="F1" s="74">
        <f>(0.622*(F2/(F3-F2)))</f>
        <v>9.971205188601201E-3</v>
      </c>
      <c r="H1" s="74" t="s">
        <v>281</v>
      </c>
      <c r="I1" s="74">
        <f>(0.622*(I2/(I3-I2)))</f>
        <v>9.2992418797695538E-3</v>
      </c>
      <c r="N1" t="s">
        <v>281</v>
      </c>
      <c r="O1" t="s">
        <v>303</v>
      </c>
      <c r="P1" t="s">
        <v>311</v>
      </c>
      <c r="Q1" t="s">
        <v>303</v>
      </c>
      <c r="R1" t="s">
        <v>303</v>
      </c>
      <c r="S1" s="88" t="s">
        <v>315</v>
      </c>
      <c r="T1" s="89" t="s">
        <v>311</v>
      </c>
      <c r="U1" s="90" t="s">
        <v>311</v>
      </c>
      <c r="V1" s="91" t="s">
        <v>314</v>
      </c>
      <c r="W1" s="81" t="s">
        <v>315</v>
      </c>
      <c r="X1" s="82" t="s">
        <v>311</v>
      </c>
      <c r="Y1" s="82" t="s">
        <v>318</v>
      </c>
      <c r="Z1" s="82" t="s">
        <v>320</v>
      </c>
      <c r="AA1" s="83" t="s">
        <v>317</v>
      </c>
      <c r="AB1" s="95" t="s">
        <v>329</v>
      </c>
      <c r="AD1" s="95" t="s">
        <v>326</v>
      </c>
    </row>
    <row r="2" spans="1:31" x14ac:dyDescent="0.3">
      <c r="B2" s="1" t="s">
        <v>282</v>
      </c>
      <c r="C2" s="1">
        <f>2.9851</f>
        <v>2.9851000000000001</v>
      </c>
      <c r="E2" s="1" t="s">
        <v>282</v>
      </c>
      <c r="F2" s="1">
        <v>1.5987</v>
      </c>
      <c r="H2" s="1" t="s">
        <v>282</v>
      </c>
      <c r="I2" s="1">
        <f>0.5*I4</f>
        <v>1.49255</v>
      </c>
      <c r="M2" s="76" t="s">
        <v>57</v>
      </c>
      <c r="N2" s="75">
        <v>5825.8334000000004</v>
      </c>
      <c r="O2">
        <f>(N2/$F$24)*$F$27</f>
        <v>2462.1137390473664</v>
      </c>
      <c r="P2" s="65">
        <f>O2/1.2</f>
        <v>2051.7614492061389</v>
      </c>
      <c r="Q2">
        <f t="shared" ref="Q2:Q8" si="0">C11*27*1.2</f>
        <v>972</v>
      </c>
      <c r="R2">
        <f>O2-Q2</f>
        <v>1490.1137390473664</v>
      </c>
      <c r="S2" s="92">
        <v>6</v>
      </c>
      <c r="T2" s="93">
        <f>P2/S2</f>
        <v>341.9602415343565</v>
      </c>
      <c r="U2" s="93">
        <v>350</v>
      </c>
      <c r="V2" s="94">
        <v>2</v>
      </c>
      <c r="W2" s="84">
        <v>4</v>
      </c>
      <c r="X2" s="85">
        <f t="shared" ref="X2:X8" si="1">R2/1.2</f>
        <v>1241.7614492061386</v>
      </c>
      <c r="Y2" s="85">
        <f>X2/3600</f>
        <v>0.34493373589059406</v>
      </c>
      <c r="Z2" s="85">
        <f>(Y2/2)/0.7</f>
        <v>0.24638123992185293</v>
      </c>
      <c r="AA2" s="86" t="s">
        <v>321</v>
      </c>
      <c r="AB2">
        <f>(X2/W2)/3600</f>
        <v>8.6233433972648516E-2</v>
      </c>
      <c r="AC2">
        <v>6.2E-2</v>
      </c>
      <c r="AD2">
        <f>AB2/AC2</f>
        <v>1.3908618382685245</v>
      </c>
    </row>
    <row r="3" spans="1:31" x14ac:dyDescent="0.3">
      <c r="B3" s="1" t="s">
        <v>283</v>
      </c>
      <c r="C3" s="1">
        <v>101.325</v>
      </c>
      <c r="E3" s="1" t="s">
        <v>283</v>
      </c>
      <c r="F3" s="1">
        <v>101.325</v>
      </c>
      <c r="H3" s="1" t="s">
        <v>283</v>
      </c>
      <c r="I3" s="1">
        <v>101.325</v>
      </c>
      <c r="M3" s="76" t="s">
        <v>59</v>
      </c>
      <c r="N3" s="75">
        <v>9670.5746399999989</v>
      </c>
      <c r="O3">
        <f>(N3/$F$24)*$F$27</f>
        <v>4086.9783000706875</v>
      </c>
      <c r="P3" s="65">
        <f t="shared" ref="P3:P8" si="2">O3/1.2</f>
        <v>3405.8152500589063</v>
      </c>
      <c r="Q3">
        <f t="shared" si="0"/>
        <v>583.19999999999993</v>
      </c>
      <c r="R3">
        <f t="shared" ref="R3:R7" si="3">O3-Q3</f>
        <v>3503.7783000706877</v>
      </c>
      <c r="S3" s="92">
        <v>6</v>
      </c>
      <c r="T3" s="93">
        <f>P3/S3</f>
        <v>567.63587500981771</v>
      </c>
      <c r="U3" s="93">
        <v>600</v>
      </c>
      <c r="V3" s="94">
        <v>4</v>
      </c>
      <c r="W3" s="84">
        <v>6</v>
      </c>
      <c r="X3" s="85">
        <f t="shared" si="1"/>
        <v>2919.8152500589067</v>
      </c>
      <c r="Y3" s="85">
        <f t="shared" ref="Y3:Y8" si="4">X3/3600</f>
        <v>0.81105979168302966</v>
      </c>
      <c r="Z3" s="85">
        <f t="shared" ref="Z3:Z8" si="5">(Y3/2)/0.7</f>
        <v>0.57932842263073547</v>
      </c>
      <c r="AA3" s="86" t="s">
        <v>322</v>
      </c>
      <c r="AB3">
        <f t="shared" ref="AB3:AB8" si="6">(X3/W3)/3600</f>
        <v>0.13517663194717161</v>
      </c>
      <c r="AC3">
        <v>9.7000000000000003E-2</v>
      </c>
      <c r="AD3">
        <f t="shared" ref="AD3:AD8" si="7">AB3/AC3</f>
        <v>1.3935735252285733</v>
      </c>
    </row>
    <row r="4" spans="1:31" x14ac:dyDescent="0.3">
      <c r="B4" s="1"/>
      <c r="C4" s="1"/>
      <c r="E4" s="1"/>
      <c r="F4" s="1"/>
      <c r="H4" s="1" t="s">
        <v>285</v>
      </c>
      <c r="I4" s="1">
        <v>2.9851000000000001</v>
      </c>
      <c r="M4" s="76" t="s">
        <v>61</v>
      </c>
      <c r="N4" s="75">
        <v>4305.6574000000001</v>
      </c>
      <c r="O4">
        <f>(N4/$F$24)*$F$27</f>
        <v>1819.6569507413242</v>
      </c>
      <c r="P4" s="65">
        <f t="shared" si="2"/>
        <v>1516.3807922844369</v>
      </c>
      <c r="Q4">
        <f t="shared" si="0"/>
        <v>259.2</v>
      </c>
      <c r="R4">
        <f t="shared" si="3"/>
        <v>1560.4569507413241</v>
      </c>
      <c r="S4" s="92">
        <v>4</v>
      </c>
      <c r="T4" s="93">
        <f t="shared" ref="T4:T8" si="8">P4/S4</f>
        <v>379.09519807110922</v>
      </c>
      <c r="U4" s="93">
        <v>400</v>
      </c>
      <c r="V4" s="94">
        <v>3</v>
      </c>
      <c r="W4" s="84">
        <v>2</v>
      </c>
      <c r="X4" s="85">
        <f t="shared" si="1"/>
        <v>1300.3807922844369</v>
      </c>
      <c r="Y4" s="85">
        <f t="shared" si="4"/>
        <v>0.36121688674567692</v>
      </c>
      <c r="Z4" s="85">
        <f t="shared" si="5"/>
        <v>0.2580120619611978</v>
      </c>
      <c r="AA4" s="85" t="s">
        <v>323</v>
      </c>
      <c r="AB4">
        <f t="shared" si="6"/>
        <v>0.18060844337283846</v>
      </c>
      <c r="AC4">
        <v>0.09</v>
      </c>
      <c r="AD4">
        <f t="shared" si="7"/>
        <v>2.0067604819204274</v>
      </c>
      <c r="AE4">
        <f>SUM(AD2:AD4)</f>
        <v>4.7911958454175245</v>
      </c>
    </row>
    <row r="5" spans="1:31" x14ac:dyDescent="0.3">
      <c r="B5" s="1" t="s">
        <v>294</v>
      </c>
      <c r="C5" s="1">
        <f>(1.0048+1.805*C1)*24+2501*C1</f>
        <v>72.153899155724176</v>
      </c>
      <c r="E5" s="1" t="s">
        <v>279</v>
      </c>
      <c r="F5" s="1">
        <f>+(1.0048+1.805*F1)*14+2501*F1</f>
        <v>39.257156531807553</v>
      </c>
      <c r="H5" s="1" t="s">
        <v>295</v>
      </c>
      <c r="I5" s="1">
        <f>(1.0048+1.805*I1)*24+2501*I1</f>
        <v>47.77544709953527</v>
      </c>
      <c r="M5" s="80" t="s">
        <v>68</v>
      </c>
      <c r="N5" s="75">
        <v>2791.0186000000003</v>
      </c>
      <c r="O5">
        <f>(N5/$J$24)*$J$27</f>
        <v>1179.540293925457</v>
      </c>
      <c r="P5" s="65">
        <f t="shared" si="2"/>
        <v>982.95024493788094</v>
      </c>
      <c r="Q5">
        <f t="shared" si="0"/>
        <v>129.6</v>
      </c>
      <c r="R5">
        <f t="shared" si="3"/>
        <v>1049.9402939254571</v>
      </c>
      <c r="S5" s="92">
        <v>2</v>
      </c>
      <c r="T5" s="93">
        <f t="shared" si="8"/>
        <v>491.47512246894047</v>
      </c>
      <c r="U5" s="93">
        <v>500</v>
      </c>
      <c r="V5" s="94">
        <v>4</v>
      </c>
      <c r="W5" s="84">
        <v>2</v>
      </c>
      <c r="X5" s="85">
        <f t="shared" si="1"/>
        <v>874.95024493788094</v>
      </c>
      <c r="Y5" s="85">
        <f t="shared" si="4"/>
        <v>0.24304173470496693</v>
      </c>
      <c r="Z5" s="85">
        <f t="shared" si="5"/>
        <v>0.17360123907497638</v>
      </c>
      <c r="AA5" s="85" t="s">
        <v>323</v>
      </c>
      <c r="AB5">
        <f t="shared" si="6"/>
        <v>0.12152086735248346</v>
      </c>
      <c r="AC5">
        <v>0.09</v>
      </c>
      <c r="AD5">
        <f t="shared" si="7"/>
        <v>1.3502318594720386</v>
      </c>
    </row>
    <row r="6" spans="1:31" x14ac:dyDescent="0.3">
      <c r="M6" s="80" t="s">
        <v>71</v>
      </c>
      <c r="N6" s="75">
        <v>10239.085080000001</v>
      </c>
      <c r="O6">
        <f t="shared" ref="O6:O8" si="9">(N6/$J$24)*$J$27</f>
        <v>4327.2421849109005</v>
      </c>
      <c r="P6" s="65">
        <f t="shared" si="2"/>
        <v>3606.0351540924171</v>
      </c>
      <c r="Q6">
        <f t="shared" si="0"/>
        <v>680.4</v>
      </c>
      <c r="R6">
        <f t="shared" si="3"/>
        <v>3646.8421849109004</v>
      </c>
      <c r="S6" s="92">
        <v>7</v>
      </c>
      <c r="T6" s="93">
        <f t="shared" si="8"/>
        <v>515.14787915605962</v>
      </c>
      <c r="U6" s="93">
        <v>500</v>
      </c>
      <c r="V6" s="94">
        <v>4</v>
      </c>
      <c r="W6" s="84">
        <v>7</v>
      </c>
      <c r="X6" s="85">
        <f t="shared" si="1"/>
        <v>3039.0351540924171</v>
      </c>
      <c r="Y6" s="85">
        <f t="shared" si="4"/>
        <v>0.84417643169233803</v>
      </c>
      <c r="Z6" s="85">
        <f t="shared" si="5"/>
        <v>0.60298316549452724</v>
      </c>
      <c r="AA6" s="85" t="s">
        <v>323</v>
      </c>
      <c r="AB6">
        <f t="shared" si="6"/>
        <v>0.12059663309890543</v>
      </c>
      <c r="AC6">
        <v>0.09</v>
      </c>
      <c r="AD6">
        <f t="shared" si="7"/>
        <v>1.3399625899878382</v>
      </c>
    </row>
    <row r="7" spans="1:31" x14ac:dyDescent="0.3">
      <c r="M7" s="80" t="s">
        <v>72</v>
      </c>
      <c r="N7" s="75">
        <v>3461.1543200000006</v>
      </c>
      <c r="O7">
        <f t="shared" si="9"/>
        <v>1462.7530550796637</v>
      </c>
      <c r="P7" s="65">
        <f t="shared" si="2"/>
        <v>1218.9608792330532</v>
      </c>
      <c r="Q7">
        <f t="shared" si="0"/>
        <v>259.2</v>
      </c>
      <c r="R7">
        <f t="shared" si="3"/>
        <v>1203.5530550796636</v>
      </c>
      <c r="S7" s="92">
        <v>4</v>
      </c>
      <c r="T7" s="93">
        <f t="shared" si="8"/>
        <v>304.7402198082633</v>
      </c>
      <c r="U7" s="93">
        <v>300</v>
      </c>
      <c r="V7" s="94">
        <v>2</v>
      </c>
      <c r="W7" s="84">
        <v>3</v>
      </c>
      <c r="X7" s="85">
        <f t="shared" si="1"/>
        <v>1002.9608792330531</v>
      </c>
      <c r="Y7" s="85">
        <f t="shared" si="4"/>
        <v>0.27860024423140362</v>
      </c>
      <c r="Z7" s="85">
        <f t="shared" si="5"/>
        <v>0.1990001744510026</v>
      </c>
      <c r="AA7" s="85" t="s">
        <v>324</v>
      </c>
      <c r="AB7">
        <f t="shared" si="6"/>
        <v>9.2866748077134548E-2</v>
      </c>
      <c r="AC7">
        <v>6.7000000000000004E-2</v>
      </c>
      <c r="AD7">
        <f t="shared" si="7"/>
        <v>1.3860708668229036</v>
      </c>
    </row>
    <row r="8" spans="1:31" x14ac:dyDescent="0.3">
      <c r="M8" s="80" t="s">
        <v>203</v>
      </c>
      <c r="N8" s="75">
        <v>21372.926400000004</v>
      </c>
      <c r="O8">
        <f t="shared" si="9"/>
        <v>9032.6262562002157</v>
      </c>
      <c r="P8" s="65">
        <f t="shared" si="2"/>
        <v>7527.1885468335131</v>
      </c>
      <c r="Q8">
        <f t="shared" si="0"/>
        <v>777.6</v>
      </c>
      <c r="R8">
        <f>O8-Q8</f>
        <v>8255.0262562002154</v>
      </c>
      <c r="S8" s="92">
        <v>15</v>
      </c>
      <c r="T8" s="93">
        <f t="shared" si="8"/>
        <v>501.81256978890087</v>
      </c>
      <c r="U8" s="93">
        <v>500</v>
      </c>
      <c r="V8" s="94">
        <v>3</v>
      </c>
      <c r="W8" s="84">
        <v>11</v>
      </c>
      <c r="X8" s="85">
        <f t="shared" si="1"/>
        <v>6879.1885468335131</v>
      </c>
      <c r="Y8" s="85">
        <f t="shared" si="4"/>
        <v>1.9108857074537537</v>
      </c>
      <c r="Z8" s="85">
        <f t="shared" si="5"/>
        <v>1.364918362466967</v>
      </c>
      <c r="AA8" s="86" t="s">
        <v>325</v>
      </c>
      <c r="AB8">
        <f t="shared" si="6"/>
        <v>0.17371688249579578</v>
      </c>
      <c r="AC8">
        <v>0.13400000000000001</v>
      </c>
      <c r="AD8">
        <f t="shared" si="7"/>
        <v>1.2963946454910131</v>
      </c>
    </row>
    <row r="9" spans="1:31" ht="15" thickBot="1" x14ac:dyDescent="0.35">
      <c r="O9" t="s">
        <v>310</v>
      </c>
      <c r="Q9" t="s">
        <v>308</v>
      </c>
      <c r="R9" t="s">
        <v>309</v>
      </c>
      <c r="S9" s="98" t="s">
        <v>316</v>
      </c>
      <c r="T9" s="99"/>
      <c r="U9" s="99"/>
      <c r="V9" s="100"/>
      <c r="W9" s="101" t="s">
        <v>319</v>
      </c>
      <c r="X9" s="102"/>
      <c r="Y9" s="102"/>
      <c r="Z9" s="102"/>
      <c r="AA9" s="87"/>
      <c r="AB9" t="s">
        <v>330</v>
      </c>
      <c r="AC9" t="s">
        <v>327</v>
      </c>
      <c r="AD9" t="s">
        <v>328</v>
      </c>
    </row>
    <row r="10" spans="1:31" x14ac:dyDescent="0.3">
      <c r="A10" s="1" t="s">
        <v>204</v>
      </c>
      <c r="B10" s="1" t="s">
        <v>205</v>
      </c>
      <c r="C10" s="1" t="s">
        <v>261</v>
      </c>
      <c r="D10" s="1" t="s">
        <v>66</v>
      </c>
      <c r="M10">
        <f>O2+O3+O4</f>
        <v>8368.7489898593776</v>
      </c>
    </row>
    <row r="11" spans="1:31" x14ac:dyDescent="0.3">
      <c r="A11" s="76" t="s">
        <v>57</v>
      </c>
      <c r="B11" s="75">
        <f>Planilha5!K3</f>
        <v>5825.8334000000004</v>
      </c>
      <c r="C11" s="1">
        <f>Planilha5!M3</f>
        <v>30</v>
      </c>
      <c r="D11" s="1">
        <f>Planilha5!E37</f>
        <v>35</v>
      </c>
      <c r="N11">
        <v>2462.1137390473664</v>
      </c>
      <c r="O11">
        <f>N11/3600</f>
        <v>0.68392048306871289</v>
      </c>
    </row>
    <row r="12" spans="1:31" x14ac:dyDescent="0.3">
      <c r="A12" s="76" t="s">
        <v>59</v>
      </c>
      <c r="B12" s="75">
        <f>Planilha5!K4</f>
        <v>9670.5746399999989</v>
      </c>
      <c r="C12" s="1">
        <f>Planilha5!M4</f>
        <v>18</v>
      </c>
      <c r="D12" s="1">
        <f>Planilha5!E38*6</f>
        <v>54</v>
      </c>
      <c r="N12">
        <v>4086.9783000706875</v>
      </c>
      <c r="O12">
        <f t="shared" ref="O12:O13" si="10">N12/3600</f>
        <v>1.1352717500196354</v>
      </c>
    </row>
    <row r="13" spans="1:31" x14ac:dyDescent="0.3">
      <c r="A13" s="76" t="s">
        <v>61</v>
      </c>
      <c r="B13" s="75">
        <f>Planilha5!K6</f>
        <v>4305.6574000000001</v>
      </c>
      <c r="C13" s="1">
        <f>Planilha5!M6</f>
        <v>8</v>
      </c>
      <c r="D13" s="1">
        <f>Planilha5!E40</f>
        <v>35</v>
      </c>
      <c r="N13">
        <v>1819.6569507413242</v>
      </c>
      <c r="O13">
        <f t="shared" si="10"/>
        <v>0.50546026409481226</v>
      </c>
      <c r="Q13">
        <v>1179.540293925457</v>
      </c>
      <c r="R13">
        <f>Q13/3600</f>
        <v>0.32765008164596027</v>
      </c>
    </row>
    <row r="14" spans="1:31" x14ac:dyDescent="0.3">
      <c r="A14" s="80" t="s">
        <v>68</v>
      </c>
      <c r="B14" s="75">
        <f>Planilha5!K8</f>
        <v>2791.0186000000003</v>
      </c>
      <c r="C14" s="1">
        <f>Planilha5!M8</f>
        <v>4</v>
      </c>
      <c r="D14" s="1">
        <f>Planilha5!E42</f>
        <v>15</v>
      </c>
      <c r="N14">
        <f>SUM(N11:N13)</f>
        <v>8368.7489898593776</v>
      </c>
      <c r="O14">
        <f>SUM(O11:O13)</f>
        <v>2.3246524971831608</v>
      </c>
      <c r="Q14">
        <v>4327.2421849109005</v>
      </c>
      <c r="R14">
        <f>Q14/3600</f>
        <v>1.2020117180308056</v>
      </c>
    </row>
    <row r="15" spans="1:31" x14ac:dyDescent="0.3">
      <c r="A15" s="80" t="s">
        <v>71</v>
      </c>
      <c r="B15" s="75">
        <f>Planilha5!K11</f>
        <v>10239.085080000001</v>
      </c>
      <c r="C15" s="1">
        <f>Planilha5!M11</f>
        <v>21</v>
      </c>
      <c r="D15" s="1">
        <f>Planilha5!E45*7</f>
        <v>63</v>
      </c>
      <c r="Q15">
        <v>1462.7530550796637</v>
      </c>
      <c r="R15">
        <f>Q15/3600</f>
        <v>0.40632029307768436</v>
      </c>
    </row>
    <row r="16" spans="1:31" x14ac:dyDescent="0.3">
      <c r="A16" s="80" t="s">
        <v>72</v>
      </c>
      <c r="B16" s="75">
        <f>Planilha5!K12</f>
        <v>3461.1543200000006</v>
      </c>
      <c r="C16" s="1">
        <f>Planilha5!M12</f>
        <v>8</v>
      </c>
      <c r="D16" s="1">
        <f>Planilha5!E46</f>
        <v>32</v>
      </c>
      <c r="Q16">
        <v>9032.6262562002157</v>
      </c>
      <c r="R16">
        <f>Q16/3600</f>
        <v>2.5090628489445042</v>
      </c>
    </row>
    <row r="17" spans="1:18" x14ac:dyDescent="0.3">
      <c r="A17" s="80" t="s">
        <v>203</v>
      </c>
      <c r="B17" s="75">
        <f>Planilha5!K13</f>
        <v>21372.926400000004</v>
      </c>
      <c r="C17" s="1">
        <f>Planilha5!M13</f>
        <v>24</v>
      </c>
      <c r="D17" s="1">
        <f>Planilha5!E47</f>
        <v>460</v>
      </c>
      <c r="R17">
        <f>SUM(R13:R16)</f>
        <v>4.4450449416989546</v>
      </c>
    </row>
    <row r="18" spans="1:18" ht="15" thickBot="1" x14ac:dyDescent="0.35">
      <c r="C18">
        <f>SUM(C14:C17)</f>
        <v>57</v>
      </c>
      <c r="R18" t="s">
        <v>331</v>
      </c>
    </row>
    <row r="19" spans="1:18" x14ac:dyDescent="0.3">
      <c r="C19" s="65"/>
      <c r="F19" s="105"/>
      <c r="G19" s="106"/>
      <c r="H19" s="21"/>
      <c r="J19" s="107"/>
      <c r="K19" s="108"/>
      <c r="L19" s="96"/>
      <c r="M19" s="21"/>
    </row>
    <row r="20" spans="1:18" x14ac:dyDescent="0.3">
      <c r="C20" s="65"/>
      <c r="F20" s="103" t="s">
        <v>286</v>
      </c>
      <c r="G20" s="104"/>
      <c r="H20" s="22"/>
      <c r="J20" s="103" t="s">
        <v>306</v>
      </c>
      <c r="K20" s="104"/>
      <c r="L20" s="73"/>
      <c r="M20" s="22"/>
    </row>
    <row r="21" spans="1:18" x14ac:dyDescent="0.3">
      <c r="C21" s="65"/>
      <c r="F21" s="103" t="s">
        <v>287</v>
      </c>
      <c r="G21" s="104"/>
      <c r="H21" s="22"/>
      <c r="J21" s="103" t="s">
        <v>307</v>
      </c>
      <c r="K21" s="104"/>
      <c r="L21" s="73"/>
      <c r="M21" s="22"/>
    </row>
    <row r="22" spans="1:18" x14ac:dyDescent="0.3">
      <c r="C22" s="65"/>
      <c r="F22" s="103"/>
      <c r="G22" s="104"/>
      <c r="H22" s="22"/>
      <c r="J22" s="103"/>
      <c r="K22" s="104"/>
      <c r="L22" s="73"/>
      <c r="M22" s="22"/>
    </row>
    <row r="23" spans="1:18" x14ac:dyDescent="0.3">
      <c r="C23" s="65"/>
      <c r="F23" s="2" t="s">
        <v>288</v>
      </c>
      <c r="H23" s="22"/>
      <c r="J23" s="2" t="s">
        <v>288</v>
      </c>
      <c r="M23" s="22"/>
    </row>
    <row r="24" spans="1:18" x14ac:dyDescent="0.3">
      <c r="C24" s="65"/>
      <c r="F24" s="77">
        <f>B11+B12+B13</f>
        <v>19802.065439999998</v>
      </c>
      <c r="G24" s="78" t="s">
        <v>280</v>
      </c>
      <c r="H24" s="22"/>
      <c r="J24" s="77">
        <f>B14+B15+B16+B17</f>
        <v>37864.184400000006</v>
      </c>
      <c r="K24" s="78" t="s">
        <v>280</v>
      </c>
      <c r="L24" s="78"/>
      <c r="M24" s="22"/>
    </row>
    <row r="25" spans="1:18" x14ac:dyDescent="0.3">
      <c r="C25" s="65"/>
      <c r="F25" s="2"/>
      <c r="H25" s="22"/>
      <c r="J25" s="2"/>
      <c r="M25" s="22"/>
    </row>
    <row r="26" spans="1:18" x14ac:dyDescent="0.3">
      <c r="C26" s="65"/>
      <c r="F26" s="43" t="s">
        <v>289</v>
      </c>
      <c r="G26" s="1"/>
      <c r="H26" s="22"/>
      <c r="J26" s="43" t="s">
        <v>289</v>
      </c>
      <c r="K26" s="1"/>
      <c r="M26" s="22"/>
    </row>
    <row r="27" spans="1:18" x14ac:dyDescent="0.3">
      <c r="C27" s="65"/>
      <c r="F27" s="43">
        <f>(F24/(I5-F5))*3.6</f>
        <v>8368.7489898593776</v>
      </c>
      <c r="G27" s="1" t="s">
        <v>303</v>
      </c>
      <c r="H27" s="22"/>
      <c r="J27" s="43">
        <f>(J24/(I5-F5))*3.6</f>
        <v>16002.161790116235</v>
      </c>
      <c r="K27" s="1" t="s">
        <v>303</v>
      </c>
      <c r="M27" s="22"/>
    </row>
    <row r="28" spans="1:18" x14ac:dyDescent="0.3">
      <c r="C28" s="65"/>
      <c r="F28" s="2"/>
      <c r="H28" s="22"/>
      <c r="J28" s="2"/>
      <c r="M28" s="22"/>
    </row>
    <row r="29" spans="1:18" x14ac:dyDescent="0.3">
      <c r="C29" s="65"/>
      <c r="F29" s="2" t="s">
        <v>290</v>
      </c>
      <c r="H29" s="22"/>
      <c r="J29" s="2" t="s">
        <v>290</v>
      </c>
      <c r="M29" s="22"/>
    </row>
    <row r="30" spans="1:18" x14ac:dyDescent="0.3">
      <c r="C30" s="65"/>
      <c r="F30" s="2">
        <f>(F27*(F55-F5))/3.6</f>
        <v>35635.973889654706</v>
      </c>
      <c r="G30" t="s">
        <v>280</v>
      </c>
      <c r="H30" s="22"/>
      <c r="J30" s="2">
        <f>(J27*(J55-F5))/3.6</f>
        <v>54571.1071231268</v>
      </c>
      <c r="K30" t="s">
        <v>280</v>
      </c>
      <c r="M30" s="22"/>
    </row>
    <row r="31" spans="1:18" x14ac:dyDescent="0.3">
      <c r="F31" s="2">
        <f>F30/3516.85</f>
        <v>10.132924034193868</v>
      </c>
      <c r="G31" t="s">
        <v>284</v>
      </c>
      <c r="H31" s="22"/>
      <c r="J31" s="2">
        <f>J30/3516.85</f>
        <v>15.51704142147854</v>
      </c>
      <c r="K31" t="s">
        <v>284</v>
      </c>
      <c r="M31" s="22"/>
    </row>
    <row r="32" spans="1:18" x14ac:dyDescent="0.3">
      <c r="F32" s="2"/>
      <c r="H32" s="22"/>
      <c r="J32" s="2"/>
      <c r="M32" s="22"/>
    </row>
    <row r="33" spans="6:13" x14ac:dyDescent="0.3">
      <c r="F33" s="2"/>
      <c r="H33" s="22"/>
      <c r="J33" s="2"/>
      <c r="M33" s="22"/>
    </row>
    <row r="34" spans="6:13" x14ac:dyDescent="0.3">
      <c r="F34" s="2"/>
      <c r="H34" s="22"/>
      <c r="J34" s="2"/>
      <c r="M34" s="22"/>
    </row>
    <row r="35" spans="6:13" x14ac:dyDescent="0.3">
      <c r="F35" s="2"/>
      <c r="H35" s="22"/>
      <c r="J35" s="2"/>
      <c r="M35" s="22"/>
    </row>
    <row r="36" spans="6:13" x14ac:dyDescent="0.3">
      <c r="F36" s="2" t="s">
        <v>296</v>
      </c>
      <c r="G36">
        <v>54</v>
      </c>
      <c r="H36" s="22"/>
      <c r="J36" s="2" t="s">
        <v>296</v>
      </c>
      <c r="K36">
        <v>57</v>
      </c>
      <c r="M36" s="22"/>
    </row>
    <row r="37" spans="6:13" x14ac:dyDescent="0.3">
      <c r="F37" s="2" t="s">
        <v>297</v>
      </c>
      <c r="G37">
        <f>G36*27</f>
        <v>1458</v>
      </c>
      <c r="H37" s="22" t="s">
        <v>298</v>
      </c>
      <c r="J37" s="2" t="s">
        <v>297</v>
      </c>
      <c r="K37">
        <f>K36*27</f>
        <v>1539</v>
      </c>
      <c r="L37" s="22" t="s">
        <v>298</v>
      </c>
    </row>
    <row r="38" spans="6:13" x14ac:dyDescent="0.3">
      <c r="F38" s="79" t="s">
        <v>291</v>
      </c>
      <c r="G38" s="78">
        <f>G37*1.2</f>
        <v>1749.6</v>
      </c>
      <c r="H38" s="3" t="s">
        <v>299</v>
      </c>
      <c r="J38" s="79" t="s">
        <v>291</v>
      </c>
      <c r="K38" s="78">
        <f>K37*1.2</f>
        <v>1846.8</v>
      </c>
      <c r="L38" s="3" t="s">
        <v>299</v>
      </c>
    </row>
    <row r="39" spans="6:13" x14ac:dyDescent="0.3">
      <c r="F39" s="2"/>
      <c r="H39" s="22"/>
      <c r="J39" s="2"/>
      <c r="M39" s="22"/>
    </row>
    <row r="40" spans="6:13" x14ac:dyDescent="0.3">
      <c r="F40" s="2" t="s">
        <v>293</v>
      </c>
      <c r="H40" s="22"/>
      <c r="J40" s="2" t="s">
        <v>293</v>
      </c>
      <c r="M40" s="22"/>
    </row>
    <row r="41" spans="6:13" x14ac:dyDescent="0.3">
      <c r="F41" s="79">
        <f>F27-G38</f>
        <v>6619.1489898593773</v>
      </c>
      <c r="H41" s="22"/>
      <c r="J41" s="79">
        <f>J27-K38</f>
        <v>14155.361790116236</v>
      </c>
      <c r="M41" s="22"/>
    </row>
    <row r="42" spans="6:13" x14ac:dyDescent="0.3">
      <c r="F42" s="2"/>
      <c r="H42" s="22"/>
      <c r="J42" s="2"/>
      <c r="M42" s="22"/>
    </row>
    <row r="43" spans="6:13" x14ac:dyDescent="0.3">
      <c r="F43" s="2"/>
      <c r="H43" s="22"/>
      <c r="J43" s="2"/>
      <c r="M43" s="22"/>
    </row>
    <row r="44" spans="6:13" x14ac:dyDescent="0.3">
      <c r="F44" s="2"/>
      <c r="H44" s="22"/>
      <c r="J44" s="2"/>
      <c r="M44" s="22"/>
    </row>
    <row r="45" spans="6:13" x14ac:dyDescent="0.3">
      <c r="F45" s="2" t="s">
        <v>292</v>
      </c>
      <c r="H45" s="22"/>
      <c r="J45" s="2" t="s">
        <v>292</v>
      </c>
      <c r="M45" s="22"/>
    </row>
    <row r="46" spans="6:13" x14ac:dyDescent="0.3">
      <c r="F46" s="2">
        <f>F41/F27</f>
        <v>0.7909364945561117</v>
      </c>
      <c r="H46" s="22"/>
      <c r="J46" s="2">
        <f>J41/J27</f>
        <v>0.88459059318218625</v>
      </c>
      <c r="M46" s="22"/>
    </row>
    <row r="47" spans="6:13" x14ac:dyDescent="0.3">
      <c r="F47" s="2"/>
      <c r="H47" s="22"/>
      <c r="J47" s="2"/>
      <c r="M47" s="22"/>
    </row>
    <row r="48" spans="6:13" x14ac:dyDescent="0.3">
      <c r="F48" s="2" t="s">
        <v>300</v>
      </c>
      <c r="H48" s="22"/>
      <c r="J48" s="2" t="s">
        <v>300</v>
      </c>
      <c r="M48" s="22"/>
    </row>
    <row r="49" spans="6:13" x14ac:dyDescent="0.3">
      <c r="F49" s="2">
        <f>(F46*I1)+((1-F46)*C1)</f>
        <v>1.1302387963659403E-2</v>
      </c>
      <c r="H49" s="22"/>
      <c r="J49" s="2">
        <f>(J46*I1)+((1-J46)*C1)</f>
        <v>1.0405039378095737E-2</v>
      </c>
      <c r="M49" s="22"/>
    </row>
    <row r="50" spans="6:13" x14ac:dyDescent="0.3">
      <c r="F50" s="2"/>
      <c r="H50" s="22"/>
      <c r="J50" s="2"/>
      <c r="M50" s="22"/>
    </row>
    <row r="51" spans="6:13" x14ac:dyDescent="0.3">
      <c r="F51" s="2" t="s">
        <v>301</v>
      </c>
      <c r="H51" s="22"/>
      <c r="J51" s="2" t="s">
        <v>301</v>
      </c>
      <c r="M51" s="22"/>
    </row>
    <row r="52" spans="6:13" x14ac:dyDescent="0.3">
      <c r="F52" s="2">
        <f>(F46*24)+((1-F46)*32)</f>
        <v>25.672508043551105</v>
      </c>
      <c r="G52" t="s">
        <v>304</v>
      </c>
      <c r="H52" s="22"/>
      <c r="J52" s="2">
        <f>(J46*24)+((1-J46)*32)</f>
        <v>24.92327525454251</v>
      </c>
      <c r="K52" t="s">
        <v>304</v>
      </c>
      <c r="M52" s="22"/>
    </row>
    <row r="53" spans="6:13" x14ac:dyDescent="0.3">
      <c r="F53" s="2"/>
      <c r="H53" s="22"/>
      <c r="J53" s="2"/>
      <c r="M53" s="22"/>
    </row>
    <row r="54" spans="6:13" x14ac:dyDescent="0.3">
      <c r="F54" s="2" t="s">
        <v>302</v>
      </c>
      <c r="H54" s="22"/>
      <c r="J54" s="2" t="s">
        <v>302</v>
      </c>
      <c r="M54" s="22"/>
    </row>
    <row r="55" spans="6:13" ht="15" thickBot="1" x14ac:dyDescent="0.35">
      <c r="F55" s="4">
        <f>(1.0048+1.805*F49)*F52+(2501*F49)</f>
        <v>54.586748345136947</v>
      </c>
      <c r="G55" s="5" t="s">
        <v>305</v>
      </c>
      <c r="H55" s="6"/>
      <c r="J55" s="4">
        <f>(1.0048+1.805*J49)*J52+(2501*J49)</f>
        <v>51.533996887502362</v>
      </c>
      <c r="K55" s="5" t="s">
        <v>305</v>
      </c>
      <c r="L55" s="5"/>
      <c r="M55" s="6"/>
    </row>
  </sheetData>
  <mergeCells count="8">
    <mergeCell ref="S9:V9"/>
    <mergeCell ref="W9:Z9"/>
    <mergeCell ref="F20:G20"/>
    <mergeCell ref="F21:G22"/>
    <mergeCell ref="F19:G19"/>
    <mergeCell ref="J19:K19"/>
    <mergeCell ref="J20:K20"/>
    <mergeCell ref="J21:K22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7826-AD87-4FDA-82DF-4CA03093EE8D}">
  <dimension ref="A1:AC55"/>
  <sheetViews>
    <sheetView topLeftCell="J1" zoomScale="96" workbookViewId="0">
      <selection activeCell="V4" sqref="V4"/>
    </sheetView>
  </sheetViews>
  <sheetFormatPr defaultRowHeight="14.4" x14ac:dyDescent="0.3"/>
  <sheetData>
    <row r="1" spans="1:29" x14ac:dyDescent="0.3">
      <c r="B1" s="74" t="s">
        <v>281</v>
      </c>
      <c r="C1" s="74">
        <f>(0.622*(C2/(C3-C2)))</f>
        <v>1.8880761522027174E-2</v>
      </c>
      <c r="E1" s="74" t="s">
        <v>281</v>
      </c>
      <c r="F1" s="74">
        <f>(0.622*(F2/(F3-F2)))</f>
        <v>9.971205188601201E-3</v>
      </c>
      <c r="H1" s="74" t="s">
        <v>281</v>
      </c>
      <c r="I1" s="74">
        <f>(0.622*(I2/(I3-I2)))</f>
        <v>9.2992418797695538E-3</v>
      </c>
      <c r="N1" t="s">
        <v>303</v>
      </c>
      <c r="O1" t="s">
        <v>311</v>
      </c>
      <c r="P1" t="s">
        <v>303</v>
      </c>
      <c r="Q1" t="s">
        <v>303</v>
      </c>
      <c r="R1" s="97" t="s">
        <v>312</v>
      </c>
      <c r="S1" s="97"/>
      <c r="T1" s="97"/>
      <c r="U1" s="97" t="s">
        <v>313</v>
      </c>
      <c r="V1" s="81" t="s">
        <v>315</v>
      </c>
      <c r="W1" s="82" t="s">
        <v>311</v>
      </c>
      <c r="X1" s="82" t="s">
        <v>318</v>
      </c>
      <c r="Y1" s="82" t="s">
        <v>320</v>
      </c>
      <c r="Z1" s="83" t="s">
        <v>317</v>
      </c>
      <c r="AA1" s="95" t="s">
        <v>329</v>
      </c>
      <c r="AC1" s="95" t="s">
        <v>326</v>
      </c>
    </row>
    <row r="2" spans="1:29" x14ac:dyDescent="0.3">
      <c r="B2" s="1" t="s">
        <v>282</v>
      </c>
      <c r="C2" s="1">
        <f>2.9851</f>
        <v>2.9851000000000001</v>
      </c>
      <c r="E2" s="1" t="s">
        <v>282</v>
      </c>
      <c r="F2" s="1">
        <v>1.5987</v>
      </c>
      <c r="H2" s="1" t="s">
        <v>282</v>
      </c>
      <c r="I2" s="1">
        <f>0.5*I4</f>
        <v>1.49255</v>
      </c>
      <c r="L2" s="76" t="s">
        <v>57</v>
      </c>
      <c r="M2" s="75">
        <v>5045.1808000000001</v>
      </c>
      <c r="N2" s="65">
        <f>(M2/$F$24)*$F$27</f>
        <v>2132.1943335451342</v>
      </c>
      <c r="O2" s="65">
        <f>N2/1.2</f>
        <v>1776.8286112876119</v>
      </c>
      <c r="P2" s="65">
        <f>C11*27*1.2</f>
        <v>972</v>
      </c>
      <c r="Q2" s="65">
        <f>N2-P2</f>
        <v>1160.1943335451342</v>
      </c>
      <c r="R2" s="97">
        <v>4</v>
      </c>
      <c r="S2" s="97">
        <f>O2/R2</f>
        <v>444.20715282190298</v>
      </c>
      <c r="T2" s="97">
        <v>450</v>
      </c>
      <c r="U2" s="97">
        <v>3</v>
      </c>
      <c r="V2" s="84">
        <v>4</v>
      </c>
      <c r="W2" s="85">
        <f t="shared" ref="W2:W8" si="0">Q2/1.2</f>
        <v>966.82861128761192</v>
      </c>
      <c r="X2" s="85">
        <f>W2/3600</f>
        <v>0.26856350313544775</v>
      </c>
      <c r="Y2" s="85">
        <f>(X2/2)/0.7</f>
        <v>0.19183107366817698</v>
      </c>
      <c r="Z2" s="86" t="s">
        <v>321</v>
      </c>
      <c r="AA2">
        <f>(W2/V2)/3600</f>
        <v>6.7140875783861936E-2</v>
      </c>
      <c r="AB2">
        <v>6.2E-2</v>
      </c>
      <c r="AC2">
        <f>AA2/AB2</f>
        <v>1.0829173513526118</v>
      </c>
    </row>
    <row r="3" spans="1:29" x14ac:dyDescent="0.3">
      <c r="B3" s="1" t="s">
        <v>283</v>
      </c>
      <c r="C3" s="1">
        <v>101.325</v>
      </c>
      <c r="E3" s="1" t="s">
        <v>283</v>
      </c>
      <c r="F3" s="1">
        <v>101.325</v>
      </c>
      <c r="H3" s="1" t="s">
        <v>283</v>
      </c>
      <c r="I3" s="1">
        <v>101.325</v>
      </c>
      <c r="L3" s="76" t="s">
        <v>59</v>
      </c>
      <c r="M3" s="75">
        <v>8466.1391999999996</v>
      </c>
      <c r="N3" s="65">
        <f>(M3/$F$24)*$F$27</f>
        <v>3577.9597887243867</v>
      </c>
      <c r="O3" s="65">
        <f t="shared" ref="O3:O8" si="1">N3/1.2</f>
        <v>2981.6331572703225</v>
      </c>
      <c r="P3" s="65">
        <f t="shared" ref="P3:P8" si="2">C12*27*1.2</f>
        <v>583.19999999999993</v>
      </c>
      <c r="Q3" s="65">
        <f t="shared" ref="Q3:Q7" si="3">N3-P3</f>
        <v>2994.7597887243869</v>
      </c>
      <c r="R3" s="97">
        <v>6</v>
      </c>
      <c r="S3" s="97">
        <f>O3/R3</f>
        <v>496.93885954505373</v>
      </c>
      <c r="T3" s="97">
        <v>500</v>
      </c>
      <c r="U3" s="97">
        <v>3</v>
      </c>
      <c r="V3" s="84">
        <v>6</v>
      </c>
      <c r="W3" s="85">
        <f t="shared" si="0"/>
        <v>2495.6331572703225</v>
      </c>
      <c r="X3" s="85">
        <f t="shared" ref="X3:X8" si="4">W3/3600</f>
        <v>0.69323143257508957</v>
      </c>
      <c r="Y3" s="85">
        <f t="shared" ref="Y3:Y8" si="5">(X3/2)/0.7</f>
        <v>0.49516530898220684</v>
      </c>
      <c r="Z3" s="86" t="s">
        <v>322</v>
      </c>
      <c r="AA3">
        <f t="shared" ref="AA3:AA8" si="6">(W3/V3)/3600</f>
        <v>0.11553857209584825</v>
      </c>
      <c r="AB3">
        <v>9.7000000000000003E-2</v>
      </c>
      <c r="AC3">
        <f t="shared" ref="AC3:AC8" si="7">AA3/AB3</f>
        <v>1.1911192999571985</v>
      </c>
    </row>
    <row r="4" spans="1:29" x14ac:dyDescent="0.3">
      <c r="B4" s="1"/>
      <c r="C4" s="1"/>
      <c r="E4" s="1"/>
      <c r="F4" s="1"/>
      <c r="H4" s="1" t="s">
        <v>285</v>
      </c>
      <c r="I4" s="1">
        <v>2.9851000000000001</v>
      </c>
      <c r="L4" s="76" t="s">
        <v>61</v>
      </c>
      <c r="M4" s="75">
        <v>3525.0047999999997</v>
      </c>
      <c r="N4" s="65">
        <f>(M4/$F$24)*$F$27</f>
        <v>1489.7375452390918</v>
      </c>
      <c r="O4" s="65">
        <f t="shared" si="1"/>
        <v>1241.4479543659099</v>
      </c>
      <c r="P4" s="65">
        <f t="shared" si="2"/>
        <v>259.2</v>
      </c>
      <c r="Q4" s="65">
        <f t="shared" si="3"/>
        <v>1230.5375452390917</v>
      </c>
      <c r="R4" s="97">
        <v>4</v>
      </c>
      <c r="S4" s="97">
        <f>O4/R4</f>
        <v>310.36198859147748</v>
      </c>
      <c r="T4" s="97">
        <v>300</v>
      </c>
      <c r="U4" s="97">
        <v>3</v>
      </c>
      <c r="V4" s="84">
        <v>2</v>
      </c>
      <c r="W4" s="85">
        <f t="shared" si="0"/>
        <v>1025.4479543659099</v>
      </c>
      <c r="X4" s="85">
        <f t="shared" si="4"/>
        <v>0.28484665399053055</v>
      </c>
      <c r="Y4" s="85">
        <f t="shared" si="5"/>
        <v>0.20346189570752182</v>
      </c>
      <c r="Z4" s="85" t="s">
        <v>323</v>
      </c>
      <c r="AA4">
        <f t="shared" si="6"/>
        <v>0.14242332699526528</v>
      </c>
      <c r="AB4">
        <v>0.09</v>
      </c>
      <c r="AC4">
        <f t="shared" si="7"/>
        <v>1.582481411058503</v>
      </c>
    </row>
    <row r="5" spans="1:29" x14ac:dyDescent="0.3">
      <c r="B5" s="1" t="s">
        <v>294</v>
      </c>
      <c r="C5" s="1">
        <f>(1.0048+1.805*C1)*24+2501*C1</f>
        <v>72.153899155724176</v>
      </c>
      <c r="E5" s="1" t="s">
        <v>279</v>
      </c>
      <c r="F5" s="1">
        <f>+(1.0048+1.805*F1)*14+2501*F1</f>
        <v>39.257156531807553</v>
      </c>
      <c r="H5" s="1" t="s">
        <v>295</v>
      </c>
      <c r="I5" s="1">
        <f>(1.0048+1.805*I1)*24+2501*I1</f>
        <v>47.77544709953527</v>
      </c>
      <c r="L5" s="80" t="s">
        <v>68</v>
      </c>
      <c r="M5" s="75">
        <v>2456.4531999999999</v>
      </c>
      <c r="N5" s="65">
        <f>(M5/$J$24)*$J$27</f>
        <v>1038.146262995929</v>
      </c>
      <c r="O5" s="65">
        <f t="shared" si="1"/>
        <v>865.12188582994088</v>
      </c>
      <c r="P5" s="65">
        <f t="shared" si="2"/>
        <v>129.6</v>
      </c>
      <c r="Q5" s="65">
        <f t="shared" si="3"/>
        <v>908.54626299592894</v>
      </c>
      <c r="R5" s="97">
        <v>2</v>
      </c>
      <c r="S5" s="97">
        <f t="shared" ref="S5:S8" si="8">O5/R5</f>
        <v>432.56094291497044</v>
      </c>
      <c r="T5" s="97">
        <v>450</v>
      </c>
      <c r="U5" s="97">
        <v>3</v>
      </c>
      <c r="V5" s="84">
        <v>2</v>
      </c>
      <c r="W5" s="85">
        <f t="shared" si="0"/>
        <v>757.12188582994077</v>
      </c>
      <c r="X5" s="85">
        <f t="shared" si="4"/>
        <v>0.21031163495276131</v>
      </c>
      <c r="Y5" s="85">
        <f t="shared" si="5"/>
        <v>0.15022259639482952</v>
      </c>
      <c r="Z5" s="85" t="s">
        <v>323</v>
      </c>
      <c r="AA5">
        <f t="shared" si="6"/>
        <v>0.10515581747638066</v>
      </c>
      <c r="AB5">
        <v>0.09</v>
      </c>
      <c r="AC5">
        <f t="shared" si="7"/>
        <v>1.168397971959785</v>
      </c>
    </row>
    <row r="6" spans="1:29" x14ac:dyDescent="0.3">
      <c r="L6" s="80" t="s">
        <v>71</v>
      </c>
      <c r="M6" s="75">
        <v>8833.9104000000007</v>
      </c>
      <c r="N6" s="65">
        <f t="shared" ref="N6:N8" si="9">(M6/$J$24)*$J$27</f>
        <v>3733.3872550068832</v>
      </c>
      <c r="O6" s="65">
        <f t="shared" si="1"/>
        <v>3111.1560458390695</v>
      </c>
      <c r="P6" s="65">
        <f t="shared" si="2"/>
        <v>680.4</v>
      </c>
      <c r="Q6" s="65">
        <f t="shared" si="3"/>
        <v>3052.9872550068831</v>
      </c>
      <c r="R6" s="97">
        <v>7</v>
      </c>
      <c r="S6" s="97">
        <f t="shared" si="8"/>
        <v>444.45086369129564</v>
      </c>
      <c r="T6" s="97">
        <v>450</v>
      </c>
      <c r="U6" s="97">
        <v>3</v>
      </c>
      <c r="V6" s="84">
        <v>7</v>
      </c>
      <c r="W6" s="85">
        <f t="shared" si="0"/>
        <v>2544.1560458390695</v>
      </c>
      <c r="X6" s="85">
        <f t="shared" si="4"/>
        <v>0.70671001273307488</v>
      </c>
      <c r="Y6" s="85">
        <f t="shared" si="5"/>
        <v>0.50479286623791064</v>
      </c>
      <c r="Z6" s="85" t="s">
        <v>323</v>
      </c>
      <c r="AA6">
        <f t="shared" si="6"/>
        <v>0.10095857324758212</v>
      </c>
      <c r="AB6">
        <v>0.09</v>
      </c>
      <c r="AC6">
        <f t="shared" si="7"/>
        <v>1.1217619249731348</v>
      </c>
    </row>
    <row r="7" spans="1:29" x14ac:dyDescent="0.3">
      <c r="L7" s="80" t="s">
        <v>72</v>
      </c>
      <c r="M7" s="75">
        <v>2747.4148000000005</v>
      </c>
      <c r="N7" s="65">
        <f t="shared" si="9"/>
        <v>1161.1124557633373</v>
      </c>
      <c r="O7" s="65">
        <f t="shared" si="1"/>
        <v>967.59371313611439</v>
      </c>
      <c r="P7" s="65">
        <f t="shared" si="2"/>
        <v>259.2</v>
      </c>
      <c r="Q7" s="65">
        <f t="shared" si="3"/>
        <v>901.91245576333722</v>
      </c>
      <c r="R7" s="97">
        <v>4</v>
      </c>
      <c r="S7" s="97">
        <f t="shared" si="8"/>
        <v>241.8984282840286</v>
      </c>
      <c r="T7" s="97">
        <v>250</v>
      </c>
      <c r="U7" s="97">
        <v>1</v>
      </c>
      <c r="V7" s="84">
        <v>3</v>
      </c>
      <c r="W7" s="85">
        <f t="shared" si="0"/>
        <v>751.59371313611439</v>
      </c>
      <c r="X7" s="85">
        <f t="shared" si="4"/>
        <v>0.20877603142669843</v>
      </c>
      <c r="Y7" s="85">
        <f t="shared" si="5"/>
        <v>0.14912573673335602</v>
      </c>
      <c r="Z7" s="85" t="s">
        <v>324</v>
      </c>
      <c r="AA7">
        <f t="shared" si="6"/>
        <v>6.9592010475566138E-2</v>
      </c>
      <c r="AB7">
        <v>6.7000000000000004E-2</v>
      </c>
      <c r="AC7">
        <f t="shared" si="7"/>
        <v>1.0386867235159125</v>
      </c>
    </row>
    <row r="8" spans="1:29" x14ac:dyDescent="0.3">
      <c r="L8" s="80" t="s">
        <v>203</v>
      </c>
      <c r="M8" s="75">
        <v>11112.9208</v>
      </c>
      <c r="N8" s="65">
        <f t="shared" si="9"/>
        <v>4696.5426410280197</v>
      </c>
      <c r="O8" s="65">
        <f t="shared" si="1"/>
        <v>3913.7855341900167</v>
      </c>
      <c r="P8" s="65">
        <f t="shared" si="2"/>
        <v>777.6</v>
      </c>
      <c r="Q8" s="65">
        <f>N8-P8</f>
        <v>3918.9426410280198</v>
      </c>
      <c r="R8" s="97">
        <v>13</v>
      </c>
      <c r="S8" s="97">
        <f t="shared" si="8"/>
        <v>301.06042570692438</v>
      </c>
      <c r="T8" s="97">
        <v>300</v>
      </c>
      <c r="U8" s="97">
        <v>2</v>
      </c>
      <c r="V8" s="84">
        <v>11</v>
      </c>
      <c r="W8" s="85">
        <f t="shared" si="0"/>
        <v>3265.7855341900167</v>
      </c>
      <c r="X8" s="85">
        <f t="shared" si="4"/>
        <v>0.90716264838611571</v>
      </c>
      <c r="Y8" s="85">
        <f t="shared" si="5"/>
        <v>0.64797332027579702</v>
      </c>
      <c r="Z8" s="86" t="s">
        <v>325</v>
      </c>
      <c r="AA8">
        <f t="shared" si="6"/>
        <v>8.2469331671465071E-2</v>
      </c>
      <c r="AB8">
        <v>0.13400000000000001</v>
      </c>
      <c r="AC8">
        <f t="shared" si="7"/>
        <v>0.61544277366764977</v>
      </c>
    </row>
    <row r="9" spans="1:29" ht="15" thickBot="1" x14ac:dyDescent="0.35">
      <c r="N9" t="s">
        <v>310</v>
      </c>
      <c r="P9" t="s">
        <v>308</v>
      </c>
      <c r="Q9" t="s">
        <v>309</v>
      </c>
      <c r="V9" s="101" t="s">
        <v>319</v>
      </c>
      <c r="W9" s="102"/>
      <c r="X9" s="102"/>
      <c r="Y9" s="102"/>
      <c r="Z9" s="87"/>
      <c r="AA9" t="s">
        <v>330</v>
      </c>
      <c r="AB9" t="s">
        <v>327</v>
      </c>
      <c r="AC9" t="s">
        <v>328</v>
      </c>
    </row>
    <row r="10" spans="1:29" x14ac:dyDescent="0.3">
      <c r="A10" s="1" t="s">
        <v>204</v>
      </c>
      <c r="B10" s="1" t="s">
        <v>205</v>
      </c>
      <c r="C10" s="1" t="s">
        <v>261</v>
      </c>
      <c r="D10" s="1" t="s">
        <v>66</v>
      </c>
    </row>
    <row r="11" spans="1:29" x14ac:dyDescent="0.3">
      <c r="A11" s="76" t="s">
        <v>57</v>
      </c>
      <c r="B11" s="75">
        <f>Planilha5!L84</f>
        <v>5045.1808000000001</v>
      </c>
      <c r="C11" s="1">
        <f>Planilha5!M3</f>
        <v>30</v>
      </c>
      <c r="D11" s="1">
        <f>Planilha5!E37</f>
        <v>35</v>
      </c>
    </row>
    <row r="12" spans="1:29" x14ac:dyDescent="0.3">
      <c r="A12" s="76" t="s">
        <v>59</v>
      </c>
      <c r="B12" s="75">
        <f>Planilha5!L85</f>
        <v>8466.1391999999996</v>
      </c>
      <c r="C12" s="1">
        <f>Planilha5!M4</f>
        <v>18</v>
      </c>
      <c r="D12" s="1">
        <f>Planilha5!E38*6</f>
        <v>54</v>
      </c>
    </row>
    <row r="13" spans="1:29" x14ac:dyDescent="0.3">
      <c r="A13" s="76" t="s">
        <v>61</v>
      </c>
      <c r="B13" s="75">
        <f>Planilha5!L87</f>
        <v>3525.0047999999997</v>
      </c>
      <c r="C13" s="1">
        <f>Planilha5!M6</f>
        <v>8</v>
      </c>
      <c r="D13" s="1">
        <f>Planilha5!E40</f>
        <v>35</v>
      </c>
    </row>
    <row r="14" spans="1:29" x14ac:dyDescent="0.3">
      <c r="A14" s="80" t="s">
        <v>68</v>
      </c>
      <c r="B14" s="75">
        <f>Planilha5!L89</f>
        <v>2456.4531999999999</v>
      </c>
      <c r="C14" s="1">
        <f>Planilha5!M8</f>
        <v>4</v>
      </c>
      <c r="D14" s="1">
        <f>Planilha5!E42</f>
        <v>15</v>
      </c>
    </row>
    <row r="15" spans="1:29" x14ac:dyDescent="0.3">
      <c r="A15" s="80" t="s">
        <v>71</v>
      </c>
      <c r="B15" s="75">
        <f>Planilha5!L92</f>
        <v>8833.9104000000007</v>
      </c>
      <c r="C15" s="1">
        <f>Planilha5!M11</f>
        <v>21</v>
      </c>
      <c r="D15" s="1">
        <f>Planilha5!E45*7</f>
        <v>63</v>
      </c>
    </row>
    <row r="16" spans="1:29" x14ac:dyDescent="0.3">
      <c r="A16" s="80" t="s">
        <v>72</v>
      </c>
      <c r="B16" s="75">
        <f>Planilha5!L93</f>
        <v>2747.4148000000005</v>
      </c>
      <c r="C16" s="1">
        <f>Planilha5!M12</f>
        <v>8</v>
      </c>
      <c r="D16" s="1">
        <f>Planilha5!E46</f>
        <v>32</v>
      </c>
    </row>
    <row r="17" spans="1:12" x14ac:dyDescent="0.3">
      <c r="A17" s="80" t="s">
        <v>203</v>
      </c>
      <c r="B17" s="75">
        <f>Planilha5!L94</f>
        <v>11112.9208</v>
      </c>
      <c r="C17" s="1">
        <f>Planilha5!M13</f>
        <v>24</v>
      </c>
      <c r="D17" s="1">
        <f>Planilha5!E47</f>
        <v>460</v>
      </c>
    </row>
    <row r="18" spans="1:12" ht="15" thickBot="1" x14ac:dyDescent="0.35">
      <c r="C18">
        <f>SUM(C14:C17)</f>
        <v>57</v>
      </c>
    </row>
    <row r="19" spans="1:12" x14ac:dyDescent="0.3">
      <c r="C19" s="65"/>
      <c r="F19" s="105"/>
      <c r="G19" s="106"/>
      <c r="H19" s="21"/>
      <c r="J19" s="107"/>
      <c r="K19" s="108"/>
      <c r="L19" s="21"/>
    </row>
    <row r="20" spans="1:12" x14ac:dyDescent="0.3">
      <c r="C20" s="65"/>
      <c r="F20" s="103" t="s">
        <v>286</v>
      </c>
      <c r="G20" s="104"/>
      <c r="H20" s="22"/>
      <c r="J20" s="103" t="s">
        <v>306</v>
      </c>
      <c r="K20" s="104"/>
      <c r="L20" s="22"/>
    </row>
    <row r="21" spans="1:12" x14ac:dyDescent="0.3">
      <c r="C21" s="65"/>
      <c r="F21" s="103" t="s">
        <v>287</v>
      </c>
      <c r="G21" s="104"/>
      <c r="H21" s="22"/>
      <c r="J21" s="103" t="s">
        <v>307</v>
      </c>
      <c r="K21" s="104"/>
      <c r="L21" s="22"/>
    </row>
    <row r="22" spans="1:12" x14ac:dyDescent="0.3">
      <c r="C22" s="65"/>
      <c r="F22" s="103"/>
      <c r="G22" s="104"/>
      <c r="H22" s="22"/>
      <c r="J22" s="103"/>
      <c r="K22" s="104"/>
      <c r="L22" s="22"/>
    </row>
    <row r="23" spans="1:12" x14ac:dyDescent="0.3">
      <c r="C23" s="65"/>
      <c r="F23" s="2" t="s">
        <v>288</v>
      </c>
      <c r="H23" s="22"/>
      <c r="J23" s="2" t="s">
        <v>288</v>
      </c>
      <c r="L23" s="22"/>
    </row>
    <row r="24" spans="1:12" x14ac:dyDescent="0.3">
      <c r="C24" s="65"/>
      <c r="F24" s="77">
        <f>B11+B12+B13</f>
        <v>17036.324799999999</v>
      </c>
      <c r="G24" s="78" t="s">
        <v>280</v>
      </c>
      <c r="H24" s="22"/>
      <c r="J24" s="77">
        <f>B14+B15+B16+B17</f>
        <v>25150.699200000003</v>
      </c>
      <c r="K24" s="78" t="s">
        <v>280</v>
      </c>
      <c r="L24" s="22"/>
    </row>
    <row r="25" spans="1:12" x14ac:dyDescent="0.3">
      <c r="C25" s="65"/>
      <c r="F25" s="2"/>
      <c r="H25" s="22"/>
      <c r="J25" s="2"/>
      <c r="L25" s="22"/>
    </row>
    <row r="26" spans="1:12" x14ac:dyDescent="0.3">
      <c r="C26" s="65"/>
      <c r="F26" s="43" t="s">
        <v>289</v>
      </c>
      <c r="G26" s="1"/>
      <c r="H26" s="22"/>
      <c r="J26" s="43" t="s">
        <v>289</v>
      </c>
      <c r="K26" s="1"/>
      <c r="L26" s="22"/>
    </row>
    <row r="27" spans="1:12" x14ac:dyDescent="0.3">
      <c r="C27" s="65"/>
      <c r="F27" s="43">
        <f>(F24/(I5-F5))*3.6</f>
        <v>7199.891667508612</v>
      </c>
      <c r="G27" s="1" t="s">
        <v>303</v>
      </c>
      <c r="H27" s="22"/>
      <c r="J27" s="43">
        <f>(J24/(I5-F5))*3.6</f>
        <v>10629.18861479417</v>
      </c>
      <c r="K27" s="1" t="s">
        <v>303</v>
      </c>
      <c r="L27" s="22"/>
    </row>
    <row r="28" spans="1:12" x14ac:dyDescent="0.3">
      <c r="C28" s="65"/>
      <c r="F28" s="2"/>
      <c r="H28" s="22"/>
      <c r="J28" s="2"/>
      <c r="L28" s="22"/>
    </row>
    <row r="29" spans="1:12" x14ac:dyDescent="0.3">
      <c r="C29" s="65"/>
      <c r="F29" s="2" t="s">
        <v>290</v>
      </c>
      <c r="H29" s="22"/>
      <c r="J29" s="2" t="s">
        <v>290</v>
      </c>
      <c r="L29" s="22"/>
    </row>
    <row r="30" spans="1:12" x14ac:dyDescent="0.3">
      <c r="C30" s="65"/>
      <c r="F30" s="2">
        <f>(F27*(F55-F5))/3.6</f>
        <v>32872.515438744027</v>
      </c>
      <c r="G30" t="s">
        <v>280</v>
      </c>
      <c r="H30" s="22"/>
      <c r="J30" s="2">
        <f>(J27*(J55-F5))/3.6</f>
        <v>41861.762632220329</v>
      </c>
      <c r="K30" t="s">
        <v>280</v>
      </c>
      <c r="L30" s="22"/>
    </row>
    <row r="31" spans="1:12" x14ac:dyDescent="0.3">
      <c r="F31" s="2">
        <f>F30/3516.85</f>
        <v>9.3471474298716259</v>
      </c>
      <c r="G31" t="s">
        <v>284</v>
      </c>
      <c r="H31" s="22"/>
      <c r="J31" s="2">
        <f>J30/3516.85</f>
        <v>11.903198212098989</v>
      </c>
      <c r="K31" t="s">
        <v>284</v>
      </c>
      <c r="L31" s="22"/>
    </row>
    <row r="32" spans="1:12" x14ac:dyDescent="0.3">
      <c r="F32" s="2"/>
      <c r="H32" s="22"/>
      <c r="J32" s="2"/>
      <c r="L32" s="22"/>
    </row>
    <row r="33" spans="6:12" x14ac:dyDescent="0.3">
      <c r="F33" s="2"/>
      <c r="H33" s="22"/>
      <c r="J33" s="2"/>
      <c r="L33" s="22"/>
    </row>
    <row r="34" spans="6:12" x14ac:dyDescent="0.3">
      <c r="F34" s="2"/>
      <c r="H34" s="22"/>
      <c r="J34" s="2"/>
      <c r="L34" s="22"/>
    </row>
    <row r="35" spans="6:12" x14ac:dyDescent="0.3">
      <c r="F35" s="2"/>
      <c r="H35" s="22"/>
      <c r="J35" s="2"/>
      <c r="L35" s="22"/>
    </row>
    <row r="36" spans="6:12" x14ac:dyDescent="0.3">
      <c r="F36" s="2" t="s">
        <v>296</v>
      </c>
      <c r="G36">
        <v>54</v>
      </c>
      <c r="H36" s="22"/>
      <c r="J36" s="2" t="s">
        <v>296</v>
      </c>
      <c r="K36">
        <v>57</v>
      </c>
      <c r="L36" s="22"/>
    </row>
    <row r="37" spans="6:12" x14ac:dyDescent="0.3">
      <c r="F37" s="2" t="s">
        <v>297</v>
      </c>
      <c r="G37">
        <f>G36*27</f>
        <v>1458</v>
      </c>
      <c r="H37" s="22" t="s">
        <v>298</v>
      </c>
      <c r="J37" s="2" t="s">
        <v>297</v>
      </c>
      <c r="K37">
        <f>K36*27</f>
        <v>1539</v>
      </c>
      <c r="L37" s="22" t="s">
        <v>298</v>
      </c>
    </row>
    <row r="38" spans="6:12" x14ac:dyDescent="0.3">
      <c r="F38" s="79" t="s">
        <v>291</v>
      </c>
      <c r="G38" s="78">
        <f>G37*1.2</f>
        <v>1749.6</v>
      </c>
      <c r="H38" s="3" t="s">
        <v>299</v>
      </c>
      <c r="J38" s="79" t="s">
        <v>291</v>
      </c>
      <c r="K38" s="78">
        <f>K37*1.2</f>
        <v>1846.8</v>
      </c>
      <c r="L38" s="3" t="s">
        <v>299</v>
      </c>
    </row>
    <row r="39" spans="6:12" x14ac:dyDescent="0.3">
      <c r="F39" s="2"/>
      <c r="H39" s="22"/>
      <c r="J39" s="2"/>
      <c r="L39" s="22"/>
    </row>
    <row r="40" spans="6:12" x14ac:dyDescent="0.3">
      <c r="F40" s="2" t="s">
        <v>293</v>
      </c>
      <c r="H40" s="22"/>
      <c r="J40" s="2" t="s">
        <v>293</v>
      </c>
      <c r="L40" s="22"/>
    </row>
    <row r="41" spans="6:12" x14ac:dyDescent="0.3">
      <c r="F41" s="79">
        <f>F27-G38</f>
        <v>5450.2916675086126</v>
      </c>
      <c r="H41" s="22"/>
      <c r="J41" s="79">
        <f>J27-K38</f>
        <v>8782.3886147941703</v>
      </c>
      <c r="L41" s="22"/>
    </row>
    <row r="42" spans="6:12" x14ac:dyDescent="0.3">
      <c r="F42" s="2"/>
      <c r="H42" s="22"/>
      <c r="J42" s="2"/>
      <c r="L42" s="22"/>
    </row>
    <row r="43" spans="6:12" x14ac:dyDescent="0.3">
      <c r="F43" s="2"/>
      <c r="H43" s="22"/>
      <c r="J43" s="2"/>
      <c r="L43" s="22"/>
    </row>
    <row r="44" spans="6:12" x14ac:dyDescent="0.3">
      <c r="F44" s="2"/>
      <c r="H44" s="22"/>
      <c r="J44" s="2"/>
      <c r="L44" s="22"/>
    </row>
    <row r="45" spans="6:12" x14ac:dyDescent="0.3">
      <c r="F45" s="2" t="s">
        <v>292</v>
      </c>
      <c r="H45" s="22"/>
      <c r="J45" s="2" t="s">
        <v>292</v>
      </c>
      <c r="L45" s="22"/>
    </row>
    <row r="46" spans="6:12" x14ac:dyDescent="0.3">
      <c r="F46" s="2">
        <f>F41/F27</f>
        <v>0.75699634372340274</v>
      </c>
      <c r="H46" s="22"/>
      <c r="J46" s="2">
        <f>J41/J27</f>
        <v>0.82625202478488879</v>
      </c>
      <c r="L46" s="22"/>
    </row>
    <row r="47" spans="6:12" x14ac:dyDescent="0.3">
      <c r="F47" s="2"/>
      <c r="H47" s="22"/>
      <c r="J47" s="2"/>
      <c r="L47" s="22"/>
    </row>
    <row r="48" spans="6:12" x14ac:dyDescent="0.3">
      <c r="F48" s="2" t="s">
        <v>300</v>
      </c>
      <c r="H48" s="22"/>
      <c r="J48" s="2" t="s">
        <v>300</v>
      </c>
      <c r="L48" s="22"/>
    </row>
    <row r="49" spans="6:12" x14ac:dyDescent="0.3">
      <c r="F49" s="2">
        <f>(F46*I1)+((1-F46)*C1)</f>
        <v>1.1627586185524189E-2</v>
      </c>
      <c r="H49" s="22"/>
      <c r="J49" s="2">
        <f>(J46*I1)+((1-J46)*C1)</f>
        <v>1.0964011517095633E-2</v>
      </c>
      <c r="L49" s="22"/>
    </row>
    <row r="50" spans="6:12" x14ac:dyDescent="0.3">
      <c r="F50" s="2"/>
      <c r="H50" s="22"/>
      <c r="J50" s="2"/>
      <c r="L50" s="22"/>
    </row>
    <row r="51" spans="6:12" x14ac:dyDescent="0.3">
      <c r="F51" s="2" t="s">
        <v>301</v>
      </c>
      <c r="H51" s="22"/>
      <c r="J51" s="2" t="s">
        <v>301</v>
      </c>
      <c r="L51" s="22"/>
    </row>
    <row r="52" spans="6:12" x14ac:dyDescent="0.3">
      <c r="F52" s="2">
        <f>(F46*24)+((1-F46)*32)</f>
        <v>25.944029250212779</v>
      </c>
      <c r="G52" t="s">
        <v>304</v>
      </c>
      <c r="H52" s="22"/>
      <c r="J52" s="2">
        <f>(J46*24)+((1-J46)*32)</f>
        <v>25.389983801720888</v>
      </c>
      <c r="K52" t="s">
        <v>304</v>
      </c>
      <c r="L52" s="22"/>
    </row>
    <row r="53" spans="6:12" x14ac:dyDescent="0.3">
      <c r="F53" s="2"/>
      <c r="H53" s="22"/>
      <c r="J53" s="2"/>
      <c r="L53" s="22"/>
    </row>
    <row r="54" spans="6:12" x14ac:dyDescent="0.3">
      <c r="F54" s="2" t="s">
        <v>302</v>
      </c>
      <c r="H54" s="22"/>
      <c r="J54" s="2" t="s">
        <v>302</v>
      </c>
      <c r="L54" s="22"/>
    </row>
    <row r="55" spans="6:12" ht="15" thickBot="1" x14ac:dyDescent="0.35">
      <c r="F55" s="4">
        <f>(1.0048+1.805*F49)*F52+(2501*F49)</f>
        <v>55.693661557782228</v>
      </c>
      <c r="G55" s="5" t="s">
        <v>305</v>
      </c>
      <c r="H55" s="6"/>
      <c r="J55" s="4">
        <f>(1.0048+1.805*J49)*J52+(2501*J49)</f>
        <v>53.43531734327712</v>
      </c>
      <c r="K55" s="5" t="s">
        <v>305</v>
      </c>
      <c r="L55" s="6"/>
    </row>
  </sheetData>
  <mergeCells count="7">
    <mergeCell ref="F21:G22"/>
    <mergeCell ref="J21:K22"/>
    <mergeCell ref="V9:Y9"/>
    <mergeCell ref="F19:G19"/>
    <mergeCell ref="J19:K19"/>
    <mergeCell ref="F20:G20"/>
    <mergeCell ref="J20:K20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DDE6-2FA4-4690-969A-5CA1A1C1D263}">
  <dimension ref="A1:N37"/>
  <sheetViews>
    <sheetView zoomScale="95" workbookViewId="0">
      <selection activeCell="P21" sqref="P21"/>
    </sheetView>
  </sheetViews>
  <sheetFormatPr defaultRowHeight="14.4" x14ac:dyDescent="0.3"/>
  <cols>
    <col min="1" max="1" width="20.44140625" customWidth="1"/>
    <col min="2" max="2" width="22" customWidth="1"/>
    <col min="3" max="4" width="10" customWidth="1"/>
    <col min="5" max="6" width="8" customWidth="1"/>
    <col min="7" max="9" width="10" customWidth="1"/>
    <col min="10" max="11" width="12" customWidth="1"/>
    <col min="12" max="14" width="14" customWidth="1"/>
  </cols>
  <sheetData>
    <row r="1" spans="1:14" ht="15" thickBot="1" x14ac:dyDescent="0.35"/>
    <row r="2" spans="1:14" ht="17.399999999999999" thickBot="1" x14ac:dyDescent="0.35">
      <c r="A2" s="145" t="s">
        <v>85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</row>
    <row r="3" spans="1:14" x14ac:dyDescent="0.3">
      <c r="A3" s="146" t="s">
        <v>86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</row>
    <row r="4" spans="1:14" x14ac:dyDescent="0.3">
      <c r="A4" s="147" t="s">
        <v>87</v>
      </c>
      <c r="B4" s="147"/>
      <c r="C4" s="148" t="s">
        <v>88</v>
      </c>
      <c r="D4" s="148"/>
      <c r="E4" s="50" t="s">
        <v>89</v>
      </c>
      <c r="F4" s="148" t="s">
        <v>90</v>
      </c>
      <c r="G4" s="148"/>
      <c r="H4" s="148"/>
      <c r="I4" s="148"/>
      <c r="J4" s="149" t="s">
        <v>91</v>
      </c>
      <c r="K4" s="149"/>
      <c r="L4" s="150" t="s">
        <v>92</v>
      </c>
      <c r="M4" s="150"/>
      <c r="N4" s="51" t="s">
        <v>93</v>
      </c>
    </row>
    <row r="5" spans="1:14" ht="24.6" thickBot="1" x14ac:dyDescent="0.35">
      <c r="A5" s="52" t="s">
        <v>94</v>
      </c>
      <c r="B5" s="52" t="s">
        <v>95</v>
      </c>
      <c r="C5" s="52" t="s">
        <v>96</v>
      </c>
      <c r="D5" s="52" t="s">
        <v>97</v>
      </c>
      <c r="E5" s="52" t="s">
        <v>98</v>
      </c>
      <c r="F5" s="52" t="s">
        <v>99</v>
      </c>
      <c r="G5" s="52" t="s">
        <v>100</v>
      </c>
      <c r="H5" s="52" t="s">
        <v>101</v>
      </c>
      <c r="I5" s="52" t="s">
        <v>102</v>
      </c>
      <c r="J5" s="52" t="s">
        <v>103</v>
      </c>
      <c r="K5" s="52" t="s">
        <v>104</v>
      </c>
      <c r="L5" s="52" t="s">
        <v>105</v>
      </c>
      <c r="M5" s="52" t="s">
        <v>106</v>
      </c>
      <c r="N5" s="52" t="s">
        <v>107</v>
      </c>
    </row>
    <row r="6" spans="1:14" ht="15" thickBot="1" x14ac:dyDescent="0.35">
      <c r="A6" s="141" t="s">
        <v>108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</row>
    <row r="7" spans="1:14" x14ac:dyDescent="0.3">
      <c r="A7" s="53" t="s">
        <v>109</v>
      </c>
      <c r="B7" s="53" t="s">
        <v>78</v>
      </c>
      <c r="C7" s="54">
        <v>2</v>
      </c>
      <c r="D7" s="54">
        <v>1.5</v>
      </c>
      <c r="E7" s="53" t="s">
        <v>38</v>
      </c>
      <c r="F7" s="54">
        <v>3</v>
      </c>
      <c r="G7" s="54">
        <v>5.8</v>
      </c>
      <c r="H7" s="54">
        <v>7.2</v>
      </c>
      <c r="I7" s="54">
        <v>0.87</v>
      </c>
      <c r="J7" s="55">
        <v>160</v>
      </c>
      <c r="K7" s="54">
        <v>1</v>
      </c>
      <c r="L7" s="56">
        <v>125.28</v>
      </c>
      <c r="M7" s="56">
        <v>417.6</v>
      </c>
      <c r="N7" s="57">
        <v>542.88</v>
      </c>
    </row>
    <row r="8" spans="1:14" x14ac:dyDescent="0.3">
      <c r="A8" s="58" t="s">
        <v>110</v>
      </c>
      <c r="B8" s="58" t="s">
        <v>78</v>
      </c>
      <c r="C8" s="59">
        <v>2</v>
      </c>
      <c r="D8" s="59">
        <v>1.5</v>
      </c>
      <c r="E8" s="58" t="s">
        <v>38</v>
      </c>
      <c r="F8" s="59">
        <v>3</v>
      </c>
      <c r="G8" s="59">
        <v>5.8</v>
      </c>
      <c r="H8" s="59">
        <v>7.2</v>
      </c>
      <c r="I8" s="59">
        <v>0.87</v>
      </c>
      <c r="J8" s="60">
        <v>160</v>
      </c>
      <c r="K8" s="59">
        <v>1</v>
      </c>
      <c r="L8" s="61">
        <v>125.28</v>
      </c>
      <c r="M8" s="61">
        <v>417.6</v>
      </c>
      <c r="N8" s="57">
        <v>542.88</v>
      </c>
    </row>
    <row r="9" spans="1:14" x14ac:dyDescent="0.3">
      <c r="A9" s="53" t="s">
        <v>111</v>
      </c>
      <c r="B9" s="53" t="s">
        <v>78</v>
      </c>
      <c r="C9" s="54">
        <v>2</v>
      </c>
      <c r="D9" s="54">
        <v>1.5</v>
      </c>
      <c r="E9" s="53" t="s">
        <v>38</v>
      </c>
      <c r="F9" s="54">
        <v>3</v>
      </c>
      <c r="G9" s="54">
        <v>5.8</v>
      </c>
      <c r="H9" s="54">
        <v>7.2</v>
      </c>
      <c r="I9" s="54">
        <v>0.87</v>
      </c>
      <c r="J9" s="55">
        <v>160</v>
      </c>
      <c r="K9" s="54">
        <v>1</v>
      </c>
      <c r="L9" s="56">
        <v>125.28</v>
      </c>
      <c r="M9" s="56">
        <v>417.6</v>
      </c>
      <c r="N9" s="57">
        <v>542.88</v>
      </c>
    </row>
    <row r="10" spans="1:14" x14ac:dyDescent="0.3">
      <c r="A10" s="58" t="s">
        <v>112</v>
      </c>
      <c r="B10" s="58" t="s">
        <v>78</v>
      </c>
      <c r="C10" s="59">
        <v>2</v>
      </c>
      <c r="D10" s="59">
        <v>1.5</v>
      </c>
      <c r="E10" s="58" t="s">
        <v>38</v>
      </c>
      <c r="F10" s="59">
        <v>3</v>
      </c>
      <c r="G10" s="59">
        <v>5.8</v>
      </c>
      <c r="H10" s="59">
        <v>7.2</v>
      </c>
      <c r="I10" s="59">
        <v>0.87</v>
      </c>
      <c r="J10" s="60">
        <v>160</v>
      </c>
      <c r="K10" s="59">
        <v>1</v>
      </c>
      <c r="L10" s="61">
        <v>125.28</v>
      </c>
      <c r="M10" s="61">
        <v>417.6</v>
      </c>
      <c r="N10" s="57">
        <v>542.88</v>
      </c>
    </row>
    <row r="11" spans="1:14" x14ac:dyDescent="0.3">
      <c r="A11" s="53" t="s">
        <v>113</v>
      </c>
      <c r="B11" s="53" t="s">
        <v>78</v>
      </c>
      <c r="C11" s="54">
        <v>2</v>
      </c>
      <c r="D11" s="54">
        <v>1.5</v>
      </c>
      <c r="E11" s="53" t="s">
        <v>38</v>
      </c>
      <c r="F11" s="54">
        <v>3</v>
      </c>
      <c r="G11" s="54">
        <v>5.8</v>
      </c>
      <c r="H11" s="54">
        <v>7.2</v>
      </c>
      <c r="I11" s="54">
        <v>0.87</v>
      </c>
      <c r="J11" s="55">
        <v>160</v>
      </c>
      <c r="K11" s="54">
        <v>1</v>
      </c>
      <c r="L11" s="56">
        <v>125.28</v>
      </c>
      <c r="M11" s="56">
        <v>417.6</v>
      </c>
      <c r="N11" s="57">
        <v>542.88</v>
      </c>
    </row>
    <row r="12" spans="1:14" x14ac:dyDescent="0.3">
      <c r="A12" s="58" t="s">
        <v>114</v>
      </c>
      <c r="B12" s="58" t="s">
        <v>78</v>
      </c>
      <c r="C12" s="59">
        <v>2</v>
      </c>
      <c r="D12" s="59">
        <v>1.5</v>
      </c>
      <c r="E12" s="58" t="s">
        <v>38</v>
      </c>
      <c r="F12" s="59">
        <v>3</v>
      </c>
      <c r="G12" s="59">
        <v>5.8</v>
      </c>
      <c r="H12" s="59">
        <v>7.2</v>
      </c>
      <c r="I12" s="59">
        <v>0.87</v>
      </c>
      <c r="J12" s="60">
        <v>160</v>
      </c>
      <c r="K12" s="59">
        <v>1</v>
      </c>
      <c r="L12" s="61">
        <v>125.28</v>
      </c>
      <c r="M12" s="61">
        <v>417.6</v>
      </c>
      <c r="N12" s="57">
        <v>542.88</v>
      </c>
    </row>
    <row r="13" spans="1:14" ht="15" thickBot="1" x14ac:dyDescent="0.35">
      <c r="A13" s="53" t="s">
        <v>115</v>
      </c>
      <c r="B13" s="53" t="s">
        <v>78</v>
      </c>
      <c r="C13" s="54">
        <v>2</v>
      </c>
      <c r="D13" s="54">
        <v>1.5</v>
      </c>
      <c r="E13" s="53" t="s">
        <v>38</v>
      </c>
      <c r="F13" s="54">
        <v>3</v>
      </c>
      <c r="G13" s="54">
        <v>5.8</v>
      </c>
      <c r="H13" s="54">
        <v>7.2</v>
      </c>
      <c r="I13" s="54">
        <v>0.87</v>
      </c>
      <c r="J13" s="55">
        <v>160</v>
      </c>
      <c r="K13" s="54">
        <v>1</v>
      </c>
      <c r="L13" s="56">
        <v>125.28</v>
      </c>
      <c r="M13" s="56">
        <v>417.6</v>
      </c>
      <c r="N13" s="57">
        <v>542.88</v>
      </c>
    </row>
    <row r="14" spans="1:14" ht="15" thickBot="1" x14ac:dyDescent="0.35">
      <c r="A14" s="142" t="s">
        <v>116</v>
      </c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</row>
    <row r="15" spans="1:14" x14ac:dyDescent="0.3">
      <c r="A15" s="58" t="s">
        <v>117</v>
      </c>
      <c r="B15" s="58" t="s">
        <v>79</v>
      </c>
      <c r="C15" s="59">
        <v>2</v>
      </c>
      <c r="D15" s="59">
        <v>1.5</v>
      </c>
      <c r="E15" s="58" t="s">
        <v>25</v>
      </c>
      <c r="F15" s="59">
        <v>3</v>
      </c>
      <c r="G15" s="59">
        <v>5.8</v>
      </c>
      <c r="H15" s="59">
        <v>7.2</v>
      </c>
      <c r="I15" s="59">
        <v>0.87</v>
      </c>
      <c r="J15" s="60">
        <v>110</v>
      </c>
      <c r="K15" s="59">
        <v>1</v>
      </c>
      <c r="L15" s="61">
        <v>125.28</v>
      </c>
      <c r="M15" s="61">
        <v>287.10000000000002</v>
      </c>
      <c r="N15" s="57">
        <v>412.38</v>
      </c>
    </row>
    <row r="16" spans="1:14" x14ac:dyDescent="0.3">
      <c r="A16" s="53" t="s">
        <v>118</v>
      </c>
      <c r="B16" s="53" t="s">
        <v>79</v>
      </c>
      <c r="C16" s="54">
        <v>2</v>
      </c>
      <c r="D16" s="54">
        <v>1.5</v>
      </c>
      <c r="E16" s="53" t="s">
        <v>25</v>
      </c>
      <c r="F16" s="54">
        <v>3</v>
      </c>
      <c r="G16" s="54">
        <v>5.8</v>
      </c>
      <c r="H16" s="54">
        <v>7.2</v>
      </c>
      <c r="I16" s="54">
        <v>0.87</v>
      </c>
      <c r="J16" s="55">
        <v>110</v>
      </c>
      <c r="K16" s="54">
        <v>1</v>
      </c>
      <c r="L16" s="56">
        <v>125.28</v>
      </c>
      <c r="M16" s="56">
        <v>287.10000000000002</v>
      </c>
      <c r="N16" s="57">
        <v>412.38</v>
      </c>
    </row>
    <row r="17" spans="1:14" x14ac:dyDescent="0.3">
      <c r="A17" s="58" t="s">
        <v>119</v>
      </c>
      <c r="B17" s="58" t="s">
        <v>79</v>
      </c>
      <c r="C17" s="59">
        <v>2</v>
      </c>
      <c r="D17" s="59">
        <v>1.5</v>
      </c>
      <c r="E17" s="58" t="s">
        <v>25</v>
      </c>
      <c r="F17" s="59">
        <v>3</v>
      </c>
      <c r="G17" s="59">
        <v>5.8</v>
      </c>
      <c r="H17" s="59">
        <v>7.2</v>
      </c>
      <c r="I17" s="59">
        <v>0.87</v>
      </c>
      <c r="J17" s="60">
        <v>110</v>
      </c>
      <c r="K17" s="59">
        <v>1</v>
      </c>
      <c r="L17" s="61">
        <v>125.28</v>
      </c>
      <c r="M17" s="61">
        <v>287.10000000000002</v>
      </c>
      <c r="N17" s="57">
        <v>412.38</v>
      </c>
    </row>
    <row r="18" spans="1:14" x14ac:dyDescent="0.3">
      <c r="A18" s="53" t="s">
        <v>120</v>
      </c>
      <c r="B18" s="53" t="s">
        <v>79</v>
      </c>
      <c r="C18" s="54">
        <v>2</v>
      </c>
      <c r="D18" s="54">
        <v>1.5</v>
      </c>
      <c r="E18" s="53" t="s">
        <v>25</v>
      </c>
      <c r="F18" s="54">
        <v>3</v>
      </c>
      <c r="G18" s="54">
        <v>5.8</v>
      </c>
      <c r="H18" s="54">
        <v>7.2</v>
      </c>
      <c r="I18" s="54">
        <v>0.87</v>
      </c>
      <c r="J18" s="55">
        <v>110</v>
      </c>
      <c r="K18" s="54">
        <v>1</v>
      </c>
      <c r="L18" s="56">
        <v>125.28</v>
      </c>
      <c r="M18" s="56">
        <v>287.10000000000002</v>
      </c>
      <c r="N18" s="57">
        <v>412.38</v>
      </c>
    </row>
    <row r="19" spans="1:14" x14ac:dyDescent="0.3">
      <c r="A19" s="58" t="s">
        <v>121</v>
      </c>
      <c r="B19" s="58" t="s">
        <v>79</v>
      </c>
      <c r="C19" s="59">
        <v>2</v>
      </c>
      <c r="D19" s="59">
        <v>1.5</v>
      </c>
      <c r="E19" s="58" t="s">
        <v>25</v>
      </c>
      <c r="F19" s="59">
        <v>3</v>
      </c>
      <c r="G19" s="59">
        <v>5.8</v>
      </c>
      <c r="H19" s="59">
        <v>7.2</v>
      </c>
      <c r="I19" s="59">
        <v>0.87</v>
      </c>
      <c r="J19" s="60">
        <v>110</v>
      </c>
      <c r="K19" s="59">
        <v>1</v>
      </c>
      <c r="L19" s="61">
        <v>125.28</v>
      </c>
      <c r="M19" s="61">
        <v>287.10000000000002</v>
      </c>
      <c r="N19" s="57">
        <v>412.38</v>
      </c>
    </row>
    <row r="20" spans="1:14" x14ac:dyDescent="0.3">
      <c r="A20" s="53" t="s">
        <v>122</v>
      </c>
      <c r="B20" s="53" t="s">
        <v>84</v>
      </c>
      <c r="C20" s="54">
        <v>2</v>
      </c>
      <c r="D20" s="54">
        <v>1.5</v>
      </c>
      <c r="E20" s="53" t="s">
        <v>25</v>
      </c>
      <c r="F20" s="54">
        <v>3</v>
      </c>
      <c r="G20" s="54">
        <v>5.8</v>
      </c>
      <c r="H20" s="54">
        <v>7.2</v>
      </c>
      <c r="I20" s="54">
        <v>0.87</v>
      </c>
      <c r="J20" s="55">
        <v>110</v>
      </c>
      <c r="K20" s="54">
        <v>1</v>
      </c>
      <c r="L20" s="56">
        <v>125.28</v>
      </c>
      <c r="M20" s="56">
        <v>287.10000000000002</v>
      </c>
      <c r="N20" s="57">
        <v>412.38</v>
      </c>
    </row>
    <row r="21" spans="1:14" ht="15" thickBot="1" x14ac:dyDescent="0.35">
      <c r="A21" s="58" t="s">
        <v>123</v>
      </c>
      <c r="B21" s="58" t="s">
        <v>84</v>
      </c>
      <c r="C21" s="59">
        <v>2</v>
      </c>
      <c r="D21" s="59">
        <v>1.5</v>
      </c>
      <c r="E21" s="58" t="s">
        <v>25</v>
      </c>
      <c r="F21" s="59">
        <v>3</v>
      </c>
      <c r="G21" s="59">
        <v>5.8</v>
      </c>
      <c r="H21" s="59">
        <v>7.2</v>
      </c>
      <c r="I21" s="59">
        <v>0.87</v>
      </c>
      <c r="J21" s="60">
        <v>110</v>
      </c>
      <c r="K21" s="59">
        <v>1</v>
      </c>
      <c r="L21" s="61">
        <v>125.28</v>
      </c>
      <c r="M21" s="61">
        <v>287.10000000000002</v>
      </c>
      <c r="N21" s="57">
        <v>412.38</v>
      </c>
    </row>
    <row r="22" spans="1:14" ht="15" thickBot="1" x14ac:dyDescent="0.35">
      <c r="A22" s="143" t="s">
        <v>124</v>
      </c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</row>
    <row r="23" spans="1:14" x14ac:dyDescent="0.3">
      <c r="A23" s="53" t="s">
        <v>125</v>
      </c>
      <c r="B23" s="53" t="s">
        <v>83</v>
      </c>
      <c r="C23" s="54">
        <v>2</v>
      </c>
      <c r="D23" s="54">
        <v>1.5</v>
      </c>
      <c r="E23" s="53" t="s">
        <v>36</v>
      </c>
      <c r="F23" s="54">
        <v>3</v>
      </c>
      <c r="G23" s="54">
        <v>5.8</v>
      </c>
      <c r="H23" s="54">
        <v>7.2</v>
      </c>
      <c r="I23" s="54">
        <v>0.87</v>
      </c>
      <c r="J23" s="55">
        <v>450</v>
      </c>
      <c r="K23" s="54">
        <v>1</v>
      </c>
      <c r="L23" s="56">
        <v>125.28</v>
      </c>
      <c r="M23" s="56">
        <v>1174.5</v>
      </c>
      <c r="N23" s="57">
        <v>1299.78</v>
      </c>
    </row>
    <row r="24" spans="1:14" x14ac:dyDescent="0.3">
      <c r="A24" s="58" t="s">
        <v>126</v>
      </c>
      <c r="B24" s="58" t="s">
        <v>83</v>
      </c>
      <c r="C24" s="59">
        <v>2</v>
      </c>
      <c r="D24" s="59">
        <v>1.5</v>
      </c>
      <c r="E24" s="58" t="s">
        <v>36</v>
      </c>
      <c r="F24" s="59">
        <v>3</v>
      </c>
      <c r="G24" s="59">
        <v>5.8</v>
      </c>
      <c r="H24" s="59">
        <v>7.2</v>
      </c>
      <c r="I24" s="59">
        <v>0.87</v>
      </c>
      <c r="J24" s="60">
        <v>450</v>
      </c>
      <c r="K24" s="59">
        <v>1</v>
      </c>
      <c r="L24" s="61">
        <v>125.28</v>
      </c>
      <c r="M24" s="61">
        <v>1174.5</v>
      </c>
      <c r="N24" s="57">
        <v>1299.78</v>
      </c>
    </row>
    <row r="25" spans="1:14" x14ac:dyDescent="0.3">
      <c r="A25" s="53" t="s">
        <v>127</v>
      </c>
      <c r="B25" s="53" t="s">
        <v>83</v>
      </c>
      <c r="C25" s="54">
        <v>2</v>
      </c>
      <c r="D25" s="54">
        <v>1.5</v>
      </c>
      <c r="E25" s="53" t="s">
        <v>36</v>
      </c>
      <c r="F25" s="54">
        <v>3</v>
      </c>
      <c r="G25" s="54">
        <v>5.8</v>
      </c>
      <c r="H25" s="54">
        <v>7.2</v>
      </c>
      <c r="I25" s="54">
        <v>0.87</v>
      </c>
      <c r="J25" s="55">
        <v>450</v>
      </c>
      <c r="K25" s="54">
        <v>1</v>
      </c>
      <c r="L25" s="56">
        <v>125.28</v>
      </c>
      <c r="M25" s="56">
        <v>1174.5</v>
      </c>
      <c r="N25" s="57">
        <v>1299.78</v>
      </c>
    </row>
    <row r="26" spans="1:14" x14ac:dyDescent="0.3">
      <c r="A26" s="58" t="s">
        <v>128</v>
      </c>
      <c r="B26" s="58" t="s">
        <v>80</v>
      </c>
      <c r="C26" s="59">
        <v>2</v>
      </c>
      <c r="D26" s="59">
        <v>1.5</v>
      </c>
      <c r="E26" s="58" t="s">
        <v>36</v>
      </c>
      <c r="F26" s="59">
        <v>3</v>
      </c>
      <c r="G26" s="59">
        <v>5.8</v>
      </c>
      <c r="H26" s="59">
        <v>7.2</v>
      </c>
      <c r="I26" s="59">
        <v>0.87</v>
      </c>
      <c r="J26" s="60">
        <v>450</v>
      </c>
      <c r="K26" s="59">
        <v>1</v>
      </c>
      <c r="L26" s="61">
        <v>125.28</v>
      </c>
      <c r="M26" s="61">
        <v>1174.5</v>
      </c>
      <c r="N26" s="57">
        <v>1299.78</v>
      </c>
    </row>
    <row r="27" spans="1:14" x14ac:dyDescent="0.3">
      <c r="A27" s="53" t="s">
        <v>129</v>
      </c>
      <c r="B27" s="53" t="s">
        <v>80</v>
      </c>
      <c r="C27" s="54">
        <v>2</v>
      </c>
      <c r="D27" s="54">
        <v>1.5</v>
      </c>
      <c r="E27" s="53" t="s">
        <v>36</v>
      </c>
      <c r="F27" s="54">
        <v>3</v>
      </c>
      <c r="G27" s="54">
        <v>5.8</v>
      </c>
      <c r="H27" s="54">
        <v>7.2</v>
      </c>
      <c r="I27" s="54">
        <v>0.87</v>
      </c>
      <c r="J27" s="55">
        <v>450</v>
      </c>
      <c r="K27" s="54">
        <v>1</v>
      </c>
      <c r="L27" s="56">
        <v>125.28</v>
      </c>
      <c r="M27" s="56">
        <v>1174.5</v>
      </c>
      <c r="N27" s="57">
        <v>1299.78</v>
      </c>
    </row>
    <row r="28" spans="1:14" ht="15" thickBot="1" x14ac:dyDescent="0.35">
      <c r="A28" s="58" t="s">
        <v>130</v>
      </c>
      <c r="B28" s="58" t="s">
        <v>84</v>
      </c>
      <c r="C28" s="59">
        <v>3</v>
      </c>
      <c r="D28" s="59">
        <v>1.5</v>
      </c>
      <c r="E28" s="58" t="s">
        <v>36</v>
      </c>
      <c r="F28" s="59">
        <v>4.5</v>
      </c>
      <c r="G28" s="59">
        <v>5.8</v>
      </c>
      <c r="H28" s="59">
        <v>7.2</v>
      </c>
      <c r="I28" s="59">
        <v>0.87</v>
      </c>
      <c r="J28" s="60">
        <v>450</v>
      </c>
      <c r="K28" s="59">
        <v>1</v>
      </c>
      <c r="L28" s="61">
        <v>187.92</v>
      </c>
      <c r="M28" s="61">
        <v>1761.75</v>
      </c>
      <c r="N28" s="57">
        <v>1949.67</v>
      </c>
    </row>
    <row r="29" spans="1:14" ht="15" thickBot="1" x14ac:dyDescent="0.35">
      <c r="A29" s="144" t="s">
        <v>131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</row>
    <row r="30" spans="1:14" x14ac:dyDescent="0.3">
      <c r="A30" s="53" t="s">
        <v>132</v>
      </c>
      <c r="B30" s="53" t="s">
        <v>81</v>
      </c>
      <c r="C30" s="54">
        <v>3</v>
      </c>
      <c r="D30" s="54">
        <v>1.5</v>
      </c>
      <c r="E30" s="53" t="s">
        <v>29</v>
      </c>
      <c r="F30" s="54">
        <v>4.5</v>
      </c>
      <c r="G30" s="54">
        <v>5.8</v>
      </c>
      <c r="H30" s="54">
        <v>7.2</v>
      </c>
      <c r="I30" s="54">
        <v>0.87</v>
      </c>
      <c r="J30" s="55">
        <v>110</v>
      </c>
      <c r="K30" s="54">
        <v>1</v>
      </c>
      <c r="L30" s="56">
        <v>187.92</v>
      </c>
      <c r="M30" s="56">
        <v>430.65</v>
      </c>
      <c r="N30" s="57">
        <v>618.57000000000005</v>
      </c>
    </row>
    <row r="31" spans="1:14" x14ac:dyDescent="0.3">
      <c r="A31" s="58" t="s">
        <v>133</v>
      </c>
      <c r="B31" s="58" t="s">
        <v>81</v>
      </c>
      <c r="C31" s="59">
        <v>3</v>
      </c>
      <c r="D31" s="59">
        <v>1.5</v>
      </c>
      <c r="E31" s="58" t="s">
        <v>29</v>
      </c>
      <c r="F31" s="59">
        <v>4.5</v>
      </c>
      <c r="G31" s="59">
        <v>5.8</v>
      </c>
      <c r="H31" s="59">
        <v>7.2</v>
      </c>
      <c r="I31" s="59">
        <v>0.87</v>
      </c>
      <c r="J31" s="60">
        <v>110</v>
      </c>
      <c r="K31" s="59">
        <v>1</v>
      </c>
      <c r="L31" s="61">
        <v>187.92</v>
      </c>
      <c r="M31" s="61">
        <v>430.65</v>
      </c>
      <c r="N31" s="57">
        <v>618.57000000000005</v>
      </c>
    </row>
    <row r="32" spans="1:14" x14ac:dyDescent="0.3">
      <c r="A32" s="53" t="s">
        <v>134</v>
      </c>
      <c r="B32" s="53" t="s">
        <v>81</v>
      </c>
      <c r="C32" s="54">
        <v>3</v>
      </c>
      <c r="D32" s="54">
        <v>1.5</v>
      </c>
      <c r="E32" s="53" t="s">
        <v>29</v>
      </c>
      <c r="F32" s="54">
        <v>4.5</v>
      </c>
      <c r="G32" s="54">
        <v>5.8</v>
      </c>
      <c r="H32" s="54">
        <v>7.2</v>
      </c>
      <c r="I32" s="54">
        <v>0.87</v>
      </c>
      <c r="J32" s="55">
        <v>110</v>
      </c>
      <c r="K32" s="54">
        <v>1</v>
      </c>
      <c r="L32" s="56">
        <v>187.92</v>
      </c>
      <c r="M32" s="56">
        <v>430.65</v>
      </c>
      <c r="N32" s="57">
        <v>618.57000000000005</v>
      </c>
    </row>
    <row r="33" spans="1:14" x14ac:dyDescent="0.3">
      <c r="A33" s="58" t="s">
        <v>135</v>
      </c>
      <c r="B33" s="58" t="s">
        <v>82</v>
      </c>
      <c r="C33" s="59">
        <v>2</v>
      </c>
      <c r="D33" s="59">
        <v>1.5</v>
      </c>
      <c r="E33" s="58" t="s">
        <v>29</v>
      </c>
      <c r="F33" s="59">
        <v>3</v>
      </c>
      <c r="G33" s="59">
        <v>5.8</v>
      </c>
      <c r="H33" s="59">
        <v>7.2</v>
      </c>
      <c r="I33" s="59">
        <v>0.87</v>
      </c>
      <c r="J33" s="60">
        <v>110</v>
      </c>
      <c r="K33" s="59">
        <v>1</v>
      </c>
      <c r="L33" s="61">
        <v>125.28</v>
      </c>
      <c r="M33" s="61">
        <v>287.10000000000002</v>
      </c>
      <c r="N33" s="57">
        <v>412.38</v>
      </c>
    </row>
    <row r="34" spans="1:14" x14ac:dyDescent="0.3">
      <c r="A34" s="53" t="s">
        <v>136</v>
      </c>
      <c r="B34" s="53" t="s">
        <v>82</v>
      </c>
      <c r="C34" s="54">
        <v>2</v>
      </c>
      <c r="D34" s="54">
        <v>1.5</v>
      </c>
      <c r="E34" s="53" t="s">
        <v>29</v>
      </c>
      <c r="F34" s="54">
        <v>3</v>
      </c>
      <c r="G34" s="54">
        <v>5.8</v>
      </c>
      <c r="H34" s="54">
        <v>7.2</v>
      </c>
      <c r="I34" s="54">
        <v>0.87</v>
      </c>
      <c r="J34" s="55">
        <v>110</v>
      </c>
      <c r="K34" s="54">
        <v>1</v>
      </c>
      <c r="L34" s="56">
        <v>125.28</v>
      </c>
      <c r="M34" s="56">
        <v>287.10000000000002</v>
      </c>
      <c r="N34" s="57">
        <v>412.38</v>
      </c>
    </row>
    <row r="35" spans="1:14" ht="15" thickBot="1" x14ac:dyDescent="0.35">
      <c r="A35" s="58" t="s">
        <v>137</v>
      </c>
      <c r="B35" s="58" t="s">
        <v>82</v>
      </c>
      <c r="C35" s="59">
        <v>3</v>
      </c>
      <c r="D35" s="59">
        <v>1.5</v>
      </c>
      <c r="E35" s="58" t="s">
        <v>29</v>
      </c>
      <c r="F35" s="59">
        <v>4.5</v>
      </c>
      <c r="G35" s="59">
        <v>5.8</v>
      </c>
      <c r="H35" s="59">
        <v>7.2</v>
      </c>
      <c r="I35" s="59">
        <v>0.87</v>
      </c>
      <c r="J35" s="60">
        <v>110</v>
      </c>
      <c r="K35" s="59">
        <v>1</v>
      </c>
      <c r="L35" s="61">
        <v>187.92</v>
      </c>
      <c r="M35" s="61">
        <v>430.65</v>
      </c>
      <c r="N35" s="57">
        <v>618.57000000000005</v>
      </c>
    </row>
    <row r="36" spans="1:14" ht="15" thickBot="1" x14ac:dyDescent="0.35">
      <c r="A36" s="141" t="s">
        <v>108</v>
      </c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</row>
    <row r="37" spans="1:14" x14ac:dyDescent="0.3">
      <c r="A37" s="53" t="s">
        <v>138</v>
      </c>
      <c r="B37" s="53" t="s">
        <v>83</v>
      </c>
      <c r="C37" s="54">
        <v>2</v>
      </c>
      <c r="D37" s="54">
        <v>1.5</v>
      </c>
      <c r="E37" s="53" t="s">
        <v>38</v>
      </c>
      <c r="F37" s="54">
        <v>3</v>
      </c>
      <c r="G37" s="54">
        <v>5.8</v>
      </c>
      <c r="H37" s="54">
        <v>7.2</v>
      </c>
      <c r="I37" s="54">
        <v>0.87</v>
      </c>
      <c r="J37" s="55">
        <v>160</v>
      </c>
      <c r="K37" s="54">
        <v>1</v>
      </c>
      <c r="L37" s="56">
        <v>125.28</v>
      </c>
      <c r="M37" s="56">
        <v>417.6</v>
      </c>
      <c r="N37" s="57">
        <v>542.88</v>
      </c>
    </row>
  </sheetData>
  <mergeCells count="12">
    <mergeCell ref="A2:N2"/>
    <mergeCell ref="A3:N3"/>
    <mergeCell ref="A4:B4"/>
    <mergeCell ref="C4:D4"/>
    <mergeCell ref="F4:I4"/>
    <mergeCell ref="J4:K4"/>
    <mergeCell ref="L4:M4"/>
    <mergeCell ref="A6:N6"/>
    <mergeCell ref="A14:N14"/>
    <mergeCell ref="A22:N22"/>
    <mergeCell ref="A29:N29"/>
    <mergeCell ref="A36:N36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B675-E11E-42D5-8551-F4C814A18CDC}">
  <dimension ref="A1:J18"/>
  <sheetViews>
    <sheetView topLeftCell="A3" zoomScale="117" workbookViewId="0">
      <selection activeCell="G4" sqref="G4"/>
    </sheetView>
  </sheetViews>
  <sheetFormatPr defaultRowHeight="14.4" x14ac:dyDescent="0.3"/>
  <cols>
    <col min="1" max="1" width="7" customWidth="1"/>
    <col min="2" max="2" width="26" customWidth="1"/>
    <col min="3" max="3" width="18" customWidth="1"/>
    <col min="4" max="6" width="10" customWidth="1"/>
    <col min="7" max="8" width="12" customWidth="1"/>
    <col min="9" max="9" width="14" customWidth="1"/>
    <col min="10" max="10" width="22" customWidth="1"/>
  </cols>
  <sheetData>
    <row r="1" spans="1:10" ht="17.399999999999999" thickBot="1" x14ac:dyDescent="0.35">
      <c r="A1" s="145" t="s">
        <v>139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88.2" customHeight="1" x14ac:dyDescent="0.3">
      <c r="A2" s="146" t="s">
        <v>140</v>
      </c>
      <c r="B2" s="146"/>
      <c r="C2" s="146"/>
      <c r="D2" s="146"/>
      <c r="E2" s="146"/>
      <c r="F2" s="146"/>
      <c r="G2" s="146"/>
      <c r="H2" s="146"/>
      <c r="I2" s="146"/>
      <c r="J2" s="146"/>
    </row>
    <row r="3" spans="1:10" ht="78" customHeight="1" x14ac:dyDescent="0.3">
      <c r="A3" s="151" t="s">
        <v>141</v>
      </c>
      <c r="B3" s="151"/>
      <c r="C3" s="151"/>
      <c r="D3" s="151"/>
      <c r="E3" s="151"/>
      <c r="F3" s="151"/>
      <c r="G3" s="151"/>
      <c r="H3" s="151"/>
      <c r="I3" s="151"/>
      <c r="J3" s="151"/>
    </row>
    <row r="4" spans="1:10" ht="24" x14ac:dyDescent="0.3">
      <c r="A4" s="52" t="s">
        <v>94</v>
      </c>
      <c r="B4" s="52" t="s">
        <v>142</v>
      </c>
      <c r="C4" s="52" t="s">
        <v>143</v>
      </c>
      <c r="D4" s="52" t="s">
        <v>144</v>
      </c>
      <c r="E4" s="52" t="s">
        <v>145</v>
      </c>
      <c r="F4" s="52" t="s">
        <v>146</v>
      </c>
      <c r="G4" s="52" t="s">
        <v>147</v>
      </c>
      <c r="H4" s="52" t="s">
        <v>148</v>
      </c>
      <c r="I4" s="52" t="s">
        <v>149</v>
      </c>
      <c r="J4" s="52" t="s">
        <v>150</v>
      </c>
    </row>
    <row r="5" spans="1:10" ht="34.200000000000003" x14ac:dyDescent="0.3">
      <c r="A5" s="62" t="s">
        <v>151</v>
      </c>
      <c r="B5" s="62" t="s">
        <v>152</v>
      </c>
      <c r="C5" s="62" t="s">
        <v>153</v>
      </c>
      <c r="D5" s="54">
        <v>5</v>
      </c>
      <c r="E5" s="54">
        <v>2.7</v>
      </c>
      <c r="F5" s="54">
        <v>13.5</v>
      </c>
      <c r="G5" s="54">
        <v>2.2400000000000002</v>
      </c>
      <c r="H5" s="54">
        <v>0</v>
      </c>
      <c r="I5" s="63">
        <v>0</v>
      </c>
      <c r="J5" s="62" t="s">
        <v>154</v>
      </c>
    </row>
    <row r="6" spans="1:10" ht="22.8" x14ac:dyDescent="0.3">
      <c r="A6" s="64" t="s">
        <v>155</v>
      </c>
      <c r="B6" s="64" t="s">
        <v>156</v>
      </c>
      <c r="C6" s="64" t="s">
        <v>157</v>
      </c>
      <c r="D6" s="59">
        <v>8</v>
      </c>
      <c r="E6" s="59">
        <v>2.7</v>
      </c>
      <c r="F6" s="59">
        <v>21.6</v>
      </c>
      <c r="G6" s="59">
        <v>2.2400000000000002</v>
      </c>
      <c r="H6" s="59">
        <v>0</v>
      </c>
      <c r="I6" s="63">
        <v>0</v>
      </c>
      <c r="J6" s="64" t="s">
        <v>158</v>
      </c>
    </row>
    <row r="7" spans="1:10" ht="34.200000000000003" x14ac:dyDescent="0.3">
      <c r="A7" s="62" t="s">
        <v>159</v>
      </c>
      <c r="B7" s="62" t="s">
        <v>160</v>
      </c>
      <c r="C7" s="62" t="s">
        <v>161</v>
      </c>
      <c r="D7" s="54">
        <v>6</v>
      </c>
      <c r="E7" s="54">
        <v>2.7</v>
      </c>
      <c r="F7" s="54">
        <v>16.2</v>
      </c>
      <c r="G7" s="54">
        <v>2.2400000000000002</v>
      </c>
      <c r="H7" s="54">
        <v>4</v>
      </c>
      <c r="I7" s="63">
        <v>145.15</v>
      </c>
      <c r="J7" s="62" t="s">
        <v>162</v>
      </c>
    </row>
    <row r="8" spans="1:10" ht="22.8" x14ac:dyDescent="0.3">
      <c r="A8" s="64" t="s">
        <v>163</v>
      </c>
      <c r="B8" s="64" t="s">
        <v>164</v>
      </c>
      <c r="C8" s="64" t="s">
        <v>165</v>
      </c>
      <c r="D8" s="59">
        <v>6</v>
      </c>
      <c r="E8" s="59">
        <v>2.7</v>
      </c>
      <c r="F8" s="59">
        <v>16.2</v>
      </c>
      <c r="G8" s="59">
        <v>2.2400000000000002</v>
      </c>
      <c r="H8" s="59">
        <v>4</v>
      </c>
      <c r="I8" s="63">
        <v>145.15</v>
      </c>
      <c r="J8" s="64" t="s">
        <v>166</v>
      </c>
    </row>
    <row r="9" spans="1:10" ht="22.8" x14ac:dyDescent="0.3">
      <c r="A9" s="62" t="s">
        <v>167</v>
      </c>
      <c r="B9" s="62" t="s">
        <v>168</v>
      </c>
      <c r="C9" s="62" t="s">
        <v>169</v>
      </c>
      <c r="D9" s="54">
        <v>8</v>
      </c>
      <c r="E9" s="54">
        <v>2.7</v>
      </c>
      <c r="F9" s="54">
        <v>21.6</v>
      </c>
      <c r="G9" s="54">
        <v>2.2400000000000002</v>
      </c>
      <c r="H9" s="54">
        <v>0</v>
      </c>
      <c r="I9" s="63">
        <v>0</v>
      </c>
      <c r="J9" s="62" t="s">
        <v>158</v>
      </c>
    </row>
    <row r="10" spans="1:10" ht="22.8" x14ac:dyDescent="0.3">
      <c r="A10" s="64" t="s">
        <v>170</v>
      </c>
      <c r="B10" s="64" t="s">
        <v>171</v>
      </c>
      <c r="C10" s="64" t="s">
        <v>172</v>
      </c>
      <c r="D10" s="59">
        <v>8</v>
      </c>
      <c r="E10" s="59">
        <v>2.7</v>
      </c>
      <c r="F10" s="59">
        <v>21.6</v>
      </c>
      <c r="G10" s="59">
        <v>2.2400000000000002</v>
      </c>
      <c r="H10" s="59">
        <v>0</v>
      </c>
      <c r="I10" s="63">
        <v>0</v>
      </c>
      <c r="J10" s="64" t="s">
        <v>158</v>
      </c>
    </row>
    <row r="11" spans="1:10" ht="22.8" x14ac:dyDescent="0.3">
      <c r="A11" s="62" t="s">
        <v>173</v>
      </c>
      <c r="B11" s="62" t="s">
        <v>174</v>
      </c>
      <c r="C11" s="62" t="s">
        <v>175</v>
      </c>
      <c r="D11" s="54">
        <v>7</v>
      </c>
      <c r="E11" s="54">
        <v>2.7</v>
      </c>
      <c r="F11" s="54">
        <v>18.899999999999999</v>
      </c>
      <c r="G11" s="54">
        <v>2.2400000000000002</v>
      </c>
      <c r="H11" s="54">
        <v>4</v>
      </c>
      <c r="I11" s="63">
        <v>169.34</v>
      </c>
      <c r="J11" s="62" t="s">
        <v>176</v>
      </c>
    </row>
    <row r="12" spans="1:10" ht="22.8" x14ac:dyDescent="0.3">
      <c r="A12" s="64" t="s">
        <v>177</v>
      </c>
      <c r="B12" s="64" t="s">
        <v>178</v>
      </c>
      <c r="C12" s="64" t="s">
        <v>179</v>
      </c>
      <c r="D12" s="59">
        <v>3</v>
      </c>
      <c r="E12" s="59">
        <v>2.7</v>
      </c>
      <c r="F12" s="59">
        <v>8.1</v>
      </c>
      <c r="G12" s="59">
        <v>2.2400000000000002</v>
      </c>
      <c r="H12" s="59">
        <v>4</v>
      </c>
      <c r="I12" s="63">
        <v>72.58</v>
      </c>
      <c r="J12" s="64" t="s">
        <v>180</v>
      </c>
    </row>
    <row r="13" spans="1:10" ht="22.8" x14ac:dyDescent="0.3">
      <c r="A13" s="62" t="s">
        <v>181</v>
      </c>
      <c r="B13" s="62" t="s">
        <v>182</v>
      </c>
      <c r="C13" s="62" t="s">
        <v>183</v>
      </c>
      <c r="D13" s="54">
        <v>3</v>
      </c>
      <c r="E13" s="54">
        <v>2.7</v>
      </c>
      <c r="F13" s="54">
        <v>8.1</v>
      </c>
      <c r="G13" s="54">
        <v>2.2400000000000002</v>
      </c>
      <c r="H13" s="54">
        <v>4</v>
      </c>
      <c r="I13" s="63">
        <v>72.58</v>
      </c>
      <c r="J13" s="62" t="s">
        <v>184</v>
      </c>
    </row>
    <row r="14" spans="1:10" ht="22.8" x14ac:dyDescent="0.3">
      <c r="A14" s="64" t="s">
        <v>185</v>
      </c>
      <c r="B14" s="64" t="s">
        <v>186</v>
      </c>
      <c r="C14" s="64" t="s">
        <v>187</v>
      </c>
      <c r="D14" s="59">
        <v>8</v>
      </c>
      <c r="E14" s="59">
        <v>2.7</v>
      </c>
      <c r="F14" s="59">
        <v>21.6</v>
      </c>
      <c r="G14" s="59">
        <v>2.2400000000000002</v>
      </c>
      <c r="H14" s="59">
        <v>0</v>
      </c>
      <c r="I14" s="63">
        <v>0</v>
      </c>
      <c r="J14" s="64" t="s">
        <v>158</v>
      </c>
    </row>
    <row r="15" spans="1:10" ht="22.8" x14ac:dyDescent="0.3">
      <c r="A15" s="62" t="s">
        <v>188</v>
      </c>
      <c r="B15" s="62" t="s">
        <v>189</v>
      </c>
      <c r="C15" s="62" t="s">
        <v>190</v>
      </c>
      <c r="D15" s="54">
        <v>3</v>
      </c>
      <c r="E15" s="54">
        <v>2.7</v>
      </c>
      <c r="F15" s="54">
        <v>8.1</v>
      </c>
      <c r="G15" s="54">
        <v>2.2400000000000002</v>
      </c>
      <c r="H15" s="54">
        <v>0</v>
      </c>
      <c r="I15" s="63">
        <v>0</v>
      </c>
      <c r="J15" s="62" t="s">
        <v>158</v>
      </c>
    </row>
    <row r="16" spans="1:10" ht="34.200000000000003" x14ac:dyDescent="0.3">
      <c r="A16" s="64" t="s">
        <v>191</v>
      </c>
      <c r="B16" s="64" t="s">
        <v>192</v>
      </c>
      <c r="C16" s="64" t="s">
        <v>193</v>
      </c>
      <c r="D16" s="59">
        <v>22</v>
      </c>
      <c r="E16" s="59">
        <v>2.7</v>
      </c>
      <c r="F16" s="59">
        <v>59.4</v>
      </c>
      <c r="G16" s="59">
        <v>2.2400000000000002</v>
      </c>
      <c r="H16" s="59">
        <v>0</v>
      </c>
      <c r="I16" s="63">
        <v>0</v>
      </c>
      <c r="J16" s="64" t="s">
        <v>194</v>
      </c>
    </row>
    <row r="17" spans="1:10" ht="22.8" x14ac:dyDescent="0.3">
      <c r="A17" s="62" t="s">
        <v>195</v>
      </c>
      <c r="B17" s="62" t="s">
        <v>196</v>
      </c>
      <c r="C17" s="62" t="s">
        <v>197</v>
      </c>
      <c r="D17" s="54">
        <v>22</v>
      </c>
      <c r="E17" s="54">
        <v>2.7</v>
      </c>
      <c r="F17" s="54">
        <v>59.4</v>
      </c>
      <c r="G17" s="54">
        <v>2.2400000000000002</v>
      </c>
      <c r="H17" s="54">
        <v>0</v>
      </c>
      <c r="I17" s="63">
        <v>0</v>
      </c>
      <c r="J17" s="62" t="s">
        <v>198</v>
      </c>
    </row>
    <row r="18" spans="1:10" ht="22.8" x14ac:dyDescent="0.3">
      <c r="A18" s="64" t="s">
        <v>199</v>
      </c>
      <c r="B18" s="64" t="s">
        <v>200</v>
      </c>
      <c r="C18" s="64" t="s">
        <v>201</v>
      </c>
      <c r="D18" s="59">
        <v>14</v>
      </c>
      <c r="E18" s="59">
        <v>2.7</v>
      </c>
      <c r="F18" s="59">
        <v>37.799999999999997</v>
      </c>
      <c r="G18" s="59">
        <v>2.2400000000000002</v>
      </c>
      <c r="H18" s="59">
        <v>0</v>
      </c>
      <c r="I18" s="63">
        <v>0</v>
      </c>
      <c r="J18" s="64" t="s">
        <v>198</v>
      </c>
    </row>
  </sheetData>
  <mergeCells count="3">
    <mergeCell ref="A1:J1"/>
    <mergeCell ref="A2:J2"/>
    <mergeCell ref="A3:J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69d05-1a81-4616-b78c-7ee4883dee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CAEFE5B2CE284BAB862A399B3A4900" ma:contentTypeVersion="5" ma:contentTypeDescription="Crie um novo documento." ma:contentTypeScope="" ma:versionID="95aea5d9726723f23a90276ff640a202">
  <xsd:schema xmlns:xsd="http://www.w3.org/2001/XMLSchema" xmlns:xs="http://www.w3.org/2001/XMLSchema" xmlns:p="http://schemas.microsoft.com/office/2006/metadata/properties" xmlns:ns3="fdc69d05-1a81-4616-b78c-7ee4883deec9" targetNamespace="http://schemas.microsoft.com/office/2006/metadata/properties" ma:root="true" ma:fieldsID="f2e6f10cfd17842608a5803c4535a55d" ns3:_="">
    <xsd:import namespace="fdc69d05-1a81-4616-b78c-7ee4883deec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69d05-1a81-4616-b78c-7ee4883deec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F79A90-9E3D-4D24-BBCA-07D87B738A20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fdc69d05-1a81-4616-b78c-7ee4883deec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388C93C-67C0-4516-9075-9D5BE75D33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2E00A0-306D-44C8-9A1E-A35A69CA7F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69d05-1a81-4616-b78c-7ee4883dee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Planilha1</vt:lpstr>
      <vt:lpstr>Planilha6</vt:lpstr>
      <vt:lpstr>Planilha5</vt:lpstr>
      <vt:lpstr>INSUFLAÇÃO</vt:lpstr>
      <vt:lpstr>INSUFLAÇÃO - S e T</vt:lpstr>
      <vt:lpstr>Planilha4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Alexsander Silva Valiante</dc:creator>
  <cp:keywords/>
  <dc:description/>
  <cp:lastModifiedBy>Alexsander Silva Valiante</cp:lastModifiedBy>
  <cp:revision/>
  <cp:lastPrinted>2026-05-28T00:19:51Z</cp:lastPrinted>
  <dcterms:created xsi:type="dcterms:W3CDTF">2026-05-08T21:01:20Z</dcterms:created>
  <dcterms:modified xsi:type="dcterms:W3CDTF">2026-07-02T17:28:35Z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0x01010023CAEFE5B2CE284BAB862A399B3A4900</vt:lpwstr>
  </property>
</Properties>
</file>