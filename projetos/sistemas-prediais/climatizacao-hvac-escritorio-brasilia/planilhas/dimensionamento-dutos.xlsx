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struções" sheetId="1" state="visible" r:id="rId3"/>
    <sheet name="Parâmetros Gerais" sheetId="2" state="visible" r:id="rId4"/>
    <sheet name="Dimensionamento" sheetId="3" state="visible" r:id="rId5"/>
    <sheet name="Balanceamento" sheetId="4" state="visible" r:id="rId6"/>
    <sheet name="Tabela Velocidad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<sst xmlns="http://schemas.openxmlformats.org/spreadsheetml/2006/main" count="143" uniqueCount="121">
  <si>
    <t xml:space="preserve">📐  DIMENSIONAMENTO DE REDES DE DUTOS – PME 3515</t>
  </si>
  <si>
    <t xml:space="preserve">Método de Perda Unitária Constante  (Equal Friction)  —  SMACNA / Carrier</t>
  </si>
  <si>
    <t xml:space="preserve">SOBRE A PLANILHA</t>
  </si>
  <si>
    <t xml:space="preserve">Folha</t>
  </si>
  <si>
    <t xml:space="preserve">Conteúdo</t>
  </si>
  <si>
    <t xml:space="preserve">Parâmetros Gerais</t>
  </si>
  <si>
    <t xml:space="preserve">Dados do projeto: tipo de aplicação, massa específica, rugosidade, viscosidade.</t>
  </si>
  <si>
    <t xml:space="preserve">Dimensionamento</t>
  </si>
  <si>
    <t xml:space="preserve">Inserir trechos da rede. Cálculo automático de Dh, Re, f, ΔP unitário.</t>
  </si>
  <si>
    <t xml:space="preserve">Balanceamento</t>
  </si>
  <si>
    <t xml:space="preserve">Comparação das perdas por caminho (circuito). Indica os trechos que precisam de redimensionamento.</t>
  </si>
  <si>
    <t xml:space="preserve">Tabela Velocidades</t>
  </si>
  <si>
    <t xml:space="preserve">Limites de velocidade máxima por aplicação (Carrier – Tabela 3.5.1).</t>
  </si>
  <si>
    <t xml:space="preserve">LEGENDA DE CORES</t>
  </si>
  <si>
    <t xml:space="preserve">Azul claro</t>
  </si>
  <si>
    <t xml:space="preserve">Células de entrada (você edita)</t>
  </si>
  <si>
    <t xml:space="preserve">Cinza claro</t>
  </si>
  <si>
    <t xml:space="preserve">Células calculadas (não editar)</t>
  </si>
  <si>
    <t xml:space="preserve">Verde</t>
  </si>
  <si>
    <t xml:space="preserve">Trecho OK (velocidade dentro do limite)</t>
  </si>
  <si>
    <t xml:space="preserve">Vermelho</t>
  </si>
  <si>
    <t xml:space="preserve">Trecho com velocidade ACIMA do limite</t>
  </si>
  <si>
    <t xml:space="preserve">Amarelo</t>
  </si>
  <si>
    <t xml:space="preserve">Atenção – revisar balanceamento</t>
  </si>
  <si>
    <t xml:space="preserve">MÉTODO UTILIZADO</t>
  </si>
  <si>
    <t xml:space="preserve">Equal Friction</t>
  </si>
  <si>
    <t xml:space="preserve">Fixa a perda unitária do trecho principal (próximo ao ventilador) e dimensiona os demais trechos conservando o mesmo ΔP/m.</t>
  </si>
  <si>
    <t xml:space="preserve">Equação de Atrito</t>
  </si>
  <si>
    <t xml:space="preserve">f = 0,11 × (ε/Dh + 68/NRe)^0,25   (Altshul)</t>
  </si>
  <si>
    <t xml:space="preserve">Perda Unitária</t>
  </si>
  <si>
    <t xml:space="preserve">ΔP_unit = (f/Dh) × (G²)/(2ρ)   [Pa/m]</t>
  </si>
  <si>
    <t xml:space="preserve">PARÂMETROS GERAIS DO PROJETO</t>
  </si>
  <si>
    <t xml:space="preserve">IDENTIFICAÇÃO DO PROJETO</t>
  </si>
  <si>
    <t xml:space="preserve">Nome do Projeto</t>
  </si>
  <si>
    <t xml:space="preserve">Meu Projeto HVAC</t>
  </si>
  <si>
    <t xml:space="preserve">texto</t>
  </si>
  <si>
    <t xml:space="preserve">Responsável</t>
  </si>
  <si>
    <t xml:space="preserve">Engenheiro</t>
  </si>
  <si>
    <t xml:space="preserve">Data</t>
  </si>
  <si>
    <t xml:space="preserve">data</t>
  </si>
  <si>
    <t xml:space="preserve">DADOS DO AR</t>
  </si>
  <si>
    <t xml:space="preserve">Tipo de Aplicação</t>
  </si>
  <si>
    <t xml:space="preserve">Escritórios</t>
  </si>
  <si>
    <t xml:space="preserve">Massa Específica ρ (kg/m³)</t>
  </si>
  <si>
    <t xml:space="preserve">kg/m³</t>
  </si>
  <si>
    <t xml:space="preserve">Viscosidade Cinemática ν (m²/s)</t>
  </si>
  <si>
    <t xml:space="preserve">m²/s</t>
  </si>
  <si>
    <t xml:space="preserve">Rugosidade ε (m)</t>
  </si>
  <si>
    <t xml:space="preserve">m</t>
  </si>
  <si>
    <t xml:space="preserve">DADOS DO TRECHO PRINCIPAL</t>
  </si>
  <si>
    <t xml:space="preserve">Velocidade máx. tronco (m/s)</t>
  </si>
  <si>
    <t xml:space="preserve">m/s</t>
  </si>
  <si>
    <t xml:space="preserve">Vazão mássica tronco ṁ (kg/s)</t>
  </si>
  <si>
    <t xml:space="preserve">Lado 'a' fixo tronco (m)</t>
  </si>
  <si>
    <t xml:space="preserve">↑  Edite as células em azul. As fórmulas na aba Dimensionamento referenciam esta aba.</t>
  </si>
  <si>
    <t xml:space="preserve">DIMENSIONAMENTO DE DUTOS — MÉTODO PERDA UNITÁRIA CONSTANTE (EQUAL FRICTION)</t>
  </si>
  <si>
    <t xml:space="preserve">ρ = 'Parâmetros Gerais'!C11   |   ν = 'Parâmetros Gerais'!C12   |   ε = 'Parâmetros Gerais'!C13   |   Entradas em AZUL, Cálculos em CINZA</t>
  </si>
  <si>
    <t xml:space="preserve">TRECHO PRINCIPAL  (define a Perda Unitária de Referência)</t>
  </si>
  <si>
    <t xml:space="preserve">Trecho</t>
  </si>
  <si>
    <t xml:space="preserve">De→Para</t>
  </si>
  <si>
    <t xml:space="preserve">Vazão mássica
ṁ (kg/s)</t>
  </si>
  <si>
    <t xml:space="preserve">Lado a
(m)</t>
  </si>
  <si>
    <t xml:space="preserve">Velocidade
V (m/s)</t>
  </si>
  <si>
    <t xml:space="preserve">Vazão vol.
G (m³/s)</t>
  </si>
  <si>
    <t xml:space="preserve">Seção
S (m²)</t>
  </si>
  <si>
    <t xml:space="preserve">Lado b
(b=S/a)
(m)</t>
  </si>
  <si>
    <t xml:space="preserve">Diâm. Hidráulico
Dh (m)</t>
  </si>
  <si>
    <t xml:space="preserve">Visc. Dinâmica
μ (Pa·s)</t>
  </si>
  <si>
    <t xml:space="preserve">Nº Reynolds
NRe</t>
  </si>
  <si>
    <t xml:space="preserve">Fator Atrito
f (Altshul)</t>
  </si>
  <si>
    <t xml:space="preserve">ΔP unitário
(Pa/m)</t>
  </si>
  <si>
    <t xml:space="preserve">Comprimento
Real L (m)</t>
  </si>
  <si>
    <t xml:space="preserve">Comp. Equiv.
ΣLe (m)</t>
  </si>
  <si>
    <t xml:space="preserve">Comp. Total
L+ΣLe (m)</t>
  </si>
  <si>
    <t xml:space="preserve">ΔP total
trecho (Pa)</t>
  </si>
  <si>
    <t xml:space="preserve">Vent→E</t>
  </si>
  <si>
    <t xml:space="preserve">ΔP Unitário de Referência (fixado pelo Trecho Principal):</t>
  </si>
  <si>
    <t xml:space="preserve">← Este valor é conservado em todos os trechos abaixo</t>
  </si>
  <si>
    <t xml:space="preserve">DEMAIS TRECHOS  (Velocidade calculada iterativamente para manter ΔP unitário constante)</t>
  </si>
  <si>
    <t xml:space="preserve">ΔP unit CALC
(Pa/m)</t>
  </si>
  <si>
    <t xml:space="preserve">Diferença
ΔP_calc-ΔP_ref
(Pa/m)</t>
  </si>
  <si>
    <t xml:space="preserve">Status
Balanc.</t>
  </si>
  <si>
    <t xml:space="preserve">INSTRUÇÃO: Para cada trecho (linhas 10–19), ajuste a Velocidade V (coluna F, azul) até a coluna 'Status' mostrar ✔ OK   |   Tolerância: |ΔP_calc − ΔP_ref| &lt; 0.001 Pa/m</t>
  </si>
  <si>
    <t xml:space="preserve">Adicione mais linhas copiando a linha 19 para baixo conforme necessário.</t>
  </si>
  <si>
    <t xml:space="preserve">VERIFICAÇÃO DE BALANCEAMENTO — CAMINHOS DA REDE</t>
  </si>
  <si>
    <t xml:space="preserve">Insira os circuitos (caminhos do ventilador até cada difusor). A diferença entre ΔP do caminho mais longo e os demais indica o desbalanceamento.</t>
  </si>
  <si>
    <t xml:space="preserve">Caminho</t>
  </si>
  <si>
    <t xml:space="preserve">Trechos (ex: 1+3+5)</t>
  </si>
  <si>
    <t xml:space="preserve">ΔP Caminho (Pa)
[soma dos trechos]</t>
  </si>
  <si>
    <t xml:space="preserve">ΔP Referência (Pa)
[caminho mais longo]</t>
  </si>
  <si>
    <t xml:space="preserve">Diferença (Pa)</t>
  </si>
  <si>
    <t xml:space="preserve">Status</t>
  </si>
  <si>
    <t xml:space="preserve">A (Crítico)</t>
  </si>
  <si>
    <t xml:space="preserve">Vent→1→3→5 (mais longo)</t>
  </si>
  <si>
    <t xml:space="preserve">B</t>
  </si>
  <si>
    <t xml:space="preserve">Vent→1→3→2</t>
  </si>
  <si>
    <t xml:space="preserve">C</t>
  </si>
  <si>
    <t xml:space="preserve">Vent→6→4</t>
  </si>
  <si>
    <t xml:space="preserve">D</t>
  </si>
  <si>
    <t xml:space="preserve">Vent→6→8→7</t>
  </si>
  <si>
    <t xml:space="preserve">E</t>
  </si>
  <si>
    <t xml:space="preserve">Vent→6→8→9</t>
  </si>
  <si>
    <t xml:space="preserve">F</t>
  </si>
  <si>
    <t xml:space="preserve">Vent→6→10</t>
  </si>
  <si>
    <t xml:space="preserve">INSTRUÇÃO: Preencha a coluna D com a soma dos ΔP totais (col R da aba Dimensionamento) para cada trecho do caminho.</t>
  </si>
  <si>
    <t xml:space="preserve">VELOCIDADES MÁXIMAS RECOMENDADAS (m/s) — Fonte: Carrier</t>
  </si>
  <si>
    <t xml:space="preserve">Tabela 3.5.1 do Cap. 3 — PME 2515/3515 — Velocidades em função da aplicação e posição na rede</t>
  </si>
  <si>
    <t xml:space="preserve">Aplicação</t>
  </si>
  <si>
    <t xml:space="preserve">Troncos</t>
  </si>
  <si>
    <t xml:space="preserve">Ramais</t>
  </si>
  <si>
    <t xml:space="preserve">Ruído
(Tronco)</t>
  </si>
  <si>
    <t xml:space="preserve">Insuflação</t>
  </si>
  <si>
    <t xml:space="preserve">Retorno</t>
  </si>
  <si>
    <t xml:space="preserve">Residências</t>
  </si>
  <si>
    <t xml:space="preserve">Apartamentos / Hotéis / Hospitais</t>
  </si>
  <si>
    <t xml:space="preserve">Escritórios Particulares / Bibliotecas</t>
  </si>
  <si>
    <t xml:space="preserve">Teatros / Auditórios</t>
  </si>
  <si>
    <t xml:space="preserve">Escritórios / Restaurantes / Bancos</t>
  </si>
  <si>
    <t xml:space="preserve">Lojas / Cafeterias</t>
  </si>
  <si>
    <t xml:space="preserve">Indústrias</t>
  </si>
  <si>
    <t xml:space="preserve">Use estes valores como referência ao verificar a coluna F (Velocidade) na aba Dimensionamento.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</si>
</sst>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0E+00"/>
    <numFmt numFmtId="166" formatCode="0.000"/>
    <numFmt numFmtId="167" formatCode="0.00"/>
    <numFmt numFmtId="168" formatCode="0.0000"/>
    <numFmt numFmtId="169" formatCode="0.00E+00"/>
    <numFmt numFmtId="170" formatCode="0"/>
    <numFmt numFmtId="171" formatCode="0.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10"/>
      <color rgb="FF1F4E79"/>
      <name val="Arial"/>
      <family val="0"/>
      <charset val="1"/>
    </font>
    <font>
      <b val="true"/>
      <sz val="10"/>
      <color rgb="FF7F3000"/>
      <name val="Arial"/>
      <family val="0"/>
      <charset val="1"/>
    </font>
    <font>
      <i val="true"/>
      <sz val="10"/>
      <color rgb="FF7F3000"/>
      <name val="Arial"/>
      <family val="0"/>
      <charset val="1"/>
    </font>
    <font>
      <sz val="10"/>
      <color rgb="FF0000FF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C6EFCE"/>
      </patternFill>
    </fill>
    <fill>
      <patternFill patternType="solid">
        <fgColor rgb="FFDEEAF1"/>
        <bgColor rgb="FFEBF3FB"/>
      </patternFill>
    </fill>
    <fill>
      <patternFill patternType="solid">
        <fgColor rgb="FFF2F2F2"/>
        <bgColor rgb="FFEBF3FB"/>
      </patternFill>
    </fill>
    <fill>
      <patternFill patternType="solid">
        <fgColor rgb="FFC6EFCE"/>
        <bgColor rgb="FFDEEAF1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2F2F2"/>
      </patternFill>
    </fill>
    <fill>
      <patternFill patternType="solid">
        <fgColor rgb="FFF0F7FF"/>
        <bgColor rgb="FFEBF3FB"/>
      </patternFill>
    </fill>
    <fill>
      <patternFill patternType="solid">
        <fgColor rgb="FFC00000"/>
        <bgColor rgb="FF800000"/>
      </patternFill>
    </fill>
    <fill>
      <patternFill patternType="solid">
        <fgColor rgb="FFEBF3FB"/>
        <bgColor rgb="FFF0F7FF"/>
      </patternFill>
    </fill>
    <fill>
      <patternFill patternType="solid">
        <fgColor rgb="FFFFFFFF"/>
        <bgColor rgb="FFF0F7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6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8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8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C6EFCE"/>
      <rgbColor rgb="FFFFEB9C"/>
      <rgbColor rgb="FFF0F7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7F30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60"/>
  </cols>
  <sheetData>
    <row r="2" customFormat="false" ht="36" hidden="false" customHeight="true" outlineLevel="0" collapsed="false">
      <c r="B2" s="1" t="s">
        <v>0</v>
      </c>
      <c r="C2" s="1"/>
    </row>
    <row r="3" customFormat="false" ht="19.5" hidden="false" customHeight="true" outlineLevel="0" collapsed="false">
      <c r="B3" s="2" t="s">
        <v>1</v>
      </c>
      <c r="C3" s="2"/>
    </row>
    <row r="5" customFormat="false" ht="18" hidden="false" customHeight="true" outlineLevel="0" collapsed="false">
      <c r="B5" s="3" t="s">
        <v>2</v>
      </c>
      <c r="C5" s="3"/>
    </row>
    <row r="6" customFormat="false" ht="18" hidden="false" customHeight="true" outlineLevel="0" collapsed="false">
      <c r="B6" s="4" t="s">
        <v>3</v>
      </c>
      <c r="C6" s="5" t="s">
        <v>4</v>
      </c>
    </row>
    <row r="7" customFormat="false" ht="18" hidden="false" customHeight="true" outlineLevel="0" collapsed="false">
      <c r="B7" s="6" t="s">
        <v>5</v>
      </c>
      <c r="C7" s="7" t="s">
        <v>6</v>
      </c>
    </row>
    <row r="8" customFormat="false" ht="18" hidden="false" customHeight="true" outlineLevel="0" collapsed="false">
      <c r="B8" s="6" t="s">
        <v>7</v>
      </c>
      <c r="C8" s="7" t="s">
        <v>8</v>
      </c>
    </row>
    <row r="9" customFormat="false" ht="18" hidden="false" customHeight="true" outlineLevel="0" collapsed="false">
      <c r="B9" s="6" t="s">
        <v>9</v>
      </c>
      <c r="C9" s="7" t="s">
        <v>10</v>
      </c>
    </row>
    <row r="10" customFormat="false" ht="18" hidden="false" customHeight="true" outlineLevel="0" collapsed="false">
      <c r="B10" s="6" t="s">
        <v>11</v>
      </c>
      <c r="C10" s="7" t="s">
        <v>12</v>
      </c>
    </row>
    <row r="12" customFormat="false" ht="18" hidden="false" customHeight="true" outlineLevel="0" collapsed="false">
      <c r="B12" s="3" t="s">
        <v>13</v>
      </c>
      <c r="C12" s="3"/>
    </row>
    <row r="13" customFormat="false" ht="18" hidden="false" customHeight="true" outlineLevel="0" collapsed="false">
      <c r="B13" s="6" t="s">
        <v>14</v>
      </c>
      <c r="C13" s="7" t="s">
        <v>15</v>
      </c>
    </row>
    <row r="14" customFormat="false" ht="18" hidden="false" customHeight="true" outlineLevel="0" collapsed="false">
      <c r="B14" s="8" t="s">
        <v>16</v>
      </c>
      <c r="C14" s="9" t="s">
        <v>17</v>
      </c>
    </row>
    <row r="15" customFormat="false" ht="18" hidden="false" customHeight="true" outlineLevel="0" collapsed="false">
      <c r="B15" s="10" t="s">
        <v>18</v>
      </c>
      <c r="C15" s="11" t="s">
        <v>19</v>
      </c>
    </row>
    <row r="16" customFormat="false" ht="18" hidden="false" customHeight="true" outlineLevel="0" collapsed="false">
      <c r="B16" s="12" t="s">
        <v>20</v>
      </c>
      <c r="C16" s="13" t="s">
        <v>21</v>
      </c>
    </row>
    <row r="17" customFormat="false" ht="18" hidden="false" customHeight="true" outlineLevel="0" collapsed="false">
      <c r="B17" s="14" t="s">
        <v>22</v>
      </c>
      <c r="C17" s="15" t="s">
        <v>23</v>
      </c>
    </row>
    <row r="19" customFormat="false" ht="18" hidden="false" customHeight="true" outlineLevel="0" collapsed="false">
      <c r="B19" s="3" t="s">
        <v>24</v>
      </c>
      <c r="C19" s="3"/>
    </row>
    <row r="20" customFormat="false" ht="18" hidden="false" customHeight="true" outlineLevel="0" collapsed="false">
      <c r="B20" s="8" t="s">
        <v>25</v>
      </c>
      <c r="C20" s="9" t="s">
        <v>26</v>
      </c>
    </row>
    <row r="21" customFormat="false" ht="18" hidden="false" customHeight="true" outlineLevel="0" collapsed="false">
      <c r="B21" s="8" t="s">
        <v>27</v>
      </c>
      <c r="C21" s="9" t="s">
        <v>28</v>
      </c>
    </row>
    <row r="22" customFormat="false" ht="18" hidden="false" customHeight="true" outlineLevel="0" collapsed="false">
      <c r="B22" s="8" t="s">
        <v>29</v>
      </c>
      <c r="C22" s="9" t="s">
        <v>30</v>
      </c>
    </row>
  </sheetData>
  <mergeCells count="5">
    <mergeCell ref="B2:C2"/>
    <mergeCell ref="B3:C3"/>
    <mergeCell ref="B5:C5"/>
    <mergeCell ref="B12:C12"/>
    <mergeCell ref="B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30"/>
  </cols>
  <sheetData>
    <row r="1" customFormat="false" ht="9.75" hidden="false" customHeight="true" outlineLevel="0" collapsed="false"/>
    <row r="2" customFormat="false" ht="30" hidden="false" customHeight="true" outlineLevel="0" collapsed="false">
      <c r="B2" s="16" t="s">
        <v>31</v>
      </c>
      <c r="C2" s="16"/>
      <c r="D2" s="16"/>
      <c r="E2" s="16"/>
    </row>
    <row r="4" customFormat="false" ht="19.5" hidden="false" customHeight="true" outlineLevel="0" collapsed="false">
      <c r="B4" s="3" t="s">
        <v>32</v>
      </c>
      <c r="C4" s="3"/>
      <c r="D4" s="3"/>
      <c r="E4" s="3"/>
    </row>
    <row r="5" customFormat="false" ht="19.5" hidden="false" customHeight="true" outlineLevel="0" collapsed="false">
      <c r="B5" s="17" t="s">
        <v>33</v>
      </c>
      <c r="C5" s="18" t="s">
        <v>34</v>
      </c>
      <c r="D5" s="19" t="s">
        <v>35</v>
      </c>
    </row>
    <row r="6" customFormat="false" ht="19.5" hidden="false" customHeight="true" outlineLevel="0" collapsed="false">
      <c r="B6" s="17" t="s">
        <v>36</v>
      </c>
      <c r="C6" s="18" t="s">
        <v>37</v>
      </c>
      <c r="D6" s="19" t="s">
        <v>35</v>
      </c>
    </row>
    <row r="7" customFormat="false" ht="19.5" hidden="false" customHeight="true" outlineLevel="0" collapsed="false">
      <c r="B7" s="17" t="s">
        <v>38</v>
      </c>
      <c r="C7" s="18"/>
      <c r="D7" s="19" t="s">
        <v>39</v>
      </c>
    </row>
    <row r="9" customFormat="false" ht="19.5" hidden="false" customHeight="true" outlineLevel="0" collapsed="false">
      <c r="B9" s="3" t="s">
        <v>40</v>
      </c>
      <c r="C9" s="3"/>
      <c r="D9" s="3"/>
      <c r="E9" s="3"/>
    </row>
    <row r="10" customFormat="false" ht="19.5" hidden="false" customHeight="true" outlineLevel="0" collapsed="false">
      <c r="B10" s="17" t="s">
        <v>41</v>
      </c>
      <c r="C10" s="18" t="s">
        <v>42</v>
      </c>
      <c r="D10" s="19" t="s">
        <v>35</v>
      </c>
    </row>
    <row r="11" customFormat="false" ht="19.5" hidden="false" customHeight="true" outlineLevel="0" collapsed="false">
      <c r="B11" s="17" t="s">
        <v>43</v>
      </c>
      <c r="C11" s="18" t="n">
        <v>1.204</v>
      </c>
      <c r="D11" s="19" t="s">
        <v>44</v>
      </c>
    </row>
    <row r="12" customFormat="false" ht="19.5" hidden="false" customHeight="true" outlineLevel="0" collapsed="false">
      <c r="B12" s="17" t="s">
        <v>45</v>
      </c>
      <c r="C12" s="20" t="n">
        <v>1.516E-005</v>
      </c>
      <c r="D12" s="19" t="s">
        <v>46</v>
      </c>
    </row>
    <row r="13" customFormat="false" ht="19.5" hidden="false" customHeight="true" outlineLevel="0" collapsed="false">
      <c r="B13" s="17" t="s">
        <v>47</v>
      </c>
      <c r="C13" s="20" t="n">
        <v>0.00015</v>
      </c>
      <c r="D13" s="19" t="s">
        <v>48</v>
      </c>
    </row>
    <row r="15" customFormat="false" ht="19.5" hidden="false" customHeight="true" outlineLevel="0" collapsed="false">
      <c r="B15" s="3" t="s">
        <v>49</v>
      </c>
      <c r="C15" s="3"/>
      <c r="D15" s="3"/>
      <c r="E15" s="3"/>
    </row>
    <row r="16" customFormat="false" ht="19.5" hidden="false" customHeight="true" outlineLevel="0" collapsed="false">
      <c r="B16" s="17" t="s">
        <v>50</v>
      </c>
      <c r="C16" s="18" t="n">
        <v>7.5</v>
      </c>
      <c r="D16" s="19" t="s">
        <v>51</v>
      </c>
    </row>
    <row r="17" customFormat="false" ht="19.5" hidden="false" customHeight="true" outlineLevel="0" collapsed="false">
      <c r="B17" s="3" t="s">
        <v>52</v>
      </c>
      <c r="C17" s="3"/>
      <c r="D17" s="3"/>
      <c r="E17" s="3"/>
    </row>
    <row r="18" customFormat="false" ht="19.5" hidden="false" customHeight="true" outlineLevel="0" collapsed="false">
      <c r="B18" s="17" t="s">
        <v>53</v>
      </c>
      <c r="C18" s="18" t="n">
        <v>0.3</v>
      </c>
      <c r="D18" s="19" t="s">
        <v>48</v>
      </c>
    </row>
    <row r="20" customFormat="false" ht="15" hidden="false" customHeight="false" outlineLevel="0" collapsed="false">
      <c r="B20" s="21" t="s">
        <v>54</v>
      </c>
    </row>
  </sheetData>
  <mergeCells count="5">
    <mergeCell ref="B2:E2"/>
    <mergeCell ref="B4:E4"/>
    <mergeCell ref="B9:E9"/>
    <mergeCell ref="B15:E15"/>
    <mergeCell ref="B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U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8" min="5" style="0" width="10"/>
    <col collapsed="false" customWidth="true" hidden="false" outlineLevel="0" max="12" min="9" style="0" width="12"/>
    <col collapsed="false" customWidth="true" hidden="false" outlineLevel="0" max="21" min="13" style="0" width="14"/>
  </cols>
  <sheetData>
    <row r="1" customFormat="false" ht="9.75" hidden="false" customHeight="true" outlineLevel="0" collapsed="false"/>
    <row r="2" customFormat="false" ht="31.5" hidden="false" customHeight="true" outlineLevel="0" collapsed="false">
      <c r="B2" s="22" t="s">
        <v>55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customFormat="false" ht="18" hidden="false" customHeight="true" outlineLevel="0" collapsed="false">
      <c r="B3" s="23" t="s">
        <v>56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customFormat="false" ht="19.5" hidden="false" customHeight="true" outlineLevel="0" collapsed="false">
      <c r="B4" s="3" t="s">
        <v>57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customFormat="false" ht="45" hidden="false" customHeight="true" outlineLevel="0" collapsed="false">
      <c r="B5" s="24" t="s">
        <v>58</v>
      </c>
      <c r="C5" s="24" t="s">
        <v>59</v>
      </c>
      <c r="D5" s="24" t="s">
        <v>60</v>
      </c>
      <c r="E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K5" s="24" t="s">
        <v>67</v>
      </c>
      <c r="L5" s="24" t="s">
        <v>68</v>
      </c>
      <c r="M5" s="24" t="s">
        <v>69</v>
      </c>
      <c r="N5" s="24" t="s">
        <v>70</v>
      </c>
      <c r="O5" s="24" t="s">
        <v>71</v>
      </c>
      <c r="P5" s="24" t="s">
        <v>72</v>
      </c>
      <c r="Q5" s="24" t="s">
        <v>73</v>
      </c>
      <c r="R5" s="24" t="s">
        <v>74</v>
      </c>
    </row>
    <row r="6" customFormat="false" ht="21.75" hidden="false" customHeight="true" outlineLevel="0" collapsed="false">
      <c r="B6" s="25" t="n">
        <v>1</v>
      </c>
      <c r="C6" s="26" t="s">
        <v>75</v>
      </c>
      <c r="D6" s="27" t="n">
        <v>2.5</v>
      </c>
      <c r="E6" s="27" t="n">
        <v>0.3</v>
      </c>
      <c r="F6" s="28" t="n">
        <v>7.5</v>
      </c>
      <c r="G6" s="29" t="n">
        <f aca="false">F6*'Parâmetros Gerais'!$C$11</f>
        <v>9.03</v>
      </c>
      <c r="H6" s="29" t="n">
        <f aca="false">D6/G6</f>
        <v>0.276854928017719</v>
      </c>
      <c r="I6" s="30" t="n">
        <f aca="false">H6/E6</f>
        <v>0.922849760059062</v>
      </c>
      <c r="J6" s="30" t="n">
        <f aca="false">4*H6/(2*(E6+I6))</f>
        <v>0.452802849639267</v>
      </c>
      <c r="K6" s="31" t="n">
        <f aca="false">'Parâmetros Gerais'!$C$11*'Parâmetros Gerais'!$C$12</f>
        <v>1.825264E-005</v>
      </c>
      <c r="L6" s="32" t="n">
        <f aca="false">G6*J6/K6</f>
        <v>224011.963871669</v>
      </c>
      <c r="M6" s="29" t="n">
        <f aca="false">0.11*('Parâmetros Gerais'!$C$13/J6+68/L6)^0.25</f>
        <v>0.0174604819620601</v>
      </c>
      <c r="N6" s="29" t="n">
        <f aca="false">(M6/J6)*(G6^2)/(2*'Parâmetros Gerais'!$C$11)</f>
        <v>1.3057682187983</v>
      </c>
      <c r="O6" s="33" t="n">
        <v>10</v>
      </c>
      <c r="P6" s="33" t="n">
        <v>5</v>
      </c>
      <c r="Q6" s="34" t="n">
        <f aca="false">O6+P6</f>
        <v>15</v>
      </c>
      <c r="R6" s="35" t="n">
        <f aca="false">N6*Q6</f>
        <v>19.5865232819745</v>
      </c>
    </row>
    <row r="7" customFormat="false" ht="18" hidden="false" customHeight="true" outlineLevel="0" collapsed="false">
      <c r="B7" s="36" t="s">
        <v>76</v>
      </c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7" t="n">
        <f aca="false">N6</f>
        <v>1.3057682187983</v>
      </c>
      <c r="O7" s="38" t="s">
        <v>77</v>
      </c>
      <c r="P7" s="38"/>
      <c r="Q7" s="38"/>
      <c r="R7" s="38"/>
    </row>
    <row r="8" customFormat="false" ht="19.5" hidden="false" customHeight="true" outlineLevel="0" collapsed="false">
      <c r="B8" s="3" t="s">
        <v>78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customFormat="false" ht="45" hidden="false" customHeight="true" outlineLevel="0" collapsed="false">
      <c r="B9" s="24" t="s">
        <v>58</v>
      </c>
      <c r="C9" s="24" t="s">
        <v>59</v>
      </c>
      <c r="D9" s="24" t="s">
        <v>60</v>
      </c>
      <c r="E9" s="24" t="s">
        <v>61</v>
      </c>
      <c r="F9" s="24" t="s">
        <v>62</v>
      </c>
      <c r="G9" s="24" t="s">
        <v>63</v>
      </c>
      <c r="H9" s="24" t="s">
        <v>64</v>
      </c>
      <c r="I9" s="24" t="s">
        <v>65</v>
      </c>
      <c r="J9" s="24" t="s">
        <v>66</v>
      </c>
      <c r="K9" s="24" t="s">
        <v>67</v>
      </c>
      <c r="L9" s="24" t="s">
        <v>68</v>
      </c>
      <c r="M9" s="24" t="s">
        <v>69</v>
      </c>
      <c r="N9" s="24" t="s">
        <v>70</v>
      </c>
      <c r="O9" s="24" t="s">
        <v>71</v>
      </c>
      <c r="P9" s="24" t="s">
        <v>72</v>
      </c>
      <c r="Q9" s="24" t="s">
        <v>73</v>
      </c>
      <c r="R9" s="24" t="s">
        <v>74</v>
      </c>
      <c r="S9" s="39" t="s">
        <v>79</v>
      </c>
      <c r="T9" s="39" t="s">
        <v>80</v>
      </c>
      <c r="U9" s="39" t="s">
        <v>81</v>
      </c>
    </row>
    <row r="10" customFormat="false" ht="21.75" hidden="false" customHeight="true" outlineLevel="0" collapsed="false">
      <c r="B10" s="26" t="n">
        <v>1</v>
      </c>
      <c r="C10" s="26"/>
      <c r="D10" s="27" t="n">
        <v>1</v>
      </c>
      <c r="E10" s="27" t="n">
        <v>0.25</v>
      </c>
      <c r="F10" s="40" t="n">
        <v>6</v>
      </c>
      <c r="G10" s="29" t="n">
        <f aca="false">F10*'Parâmetros Gerais'!$C$11</f>
        <v>7.224</v>
      </c>
      <c r="H10" s="29" t="n">
        <f aca="false">D10/G10</f>
        <v>0.138427464008859</v>
      </c>
      <c r="I10" s="30" t="n">
        <f aca="false">H10/E10</f>
        <v>0.553709856035437</v>
      </c>
      <c r="J10" s="30" t="n">
        <f aca="false">4*H10/(2*(E10+I10))</f>
        <v>0.34447123665174</v>
      </c>
      <c r="K10" s="31" t="n">
        <f aca="false">'Parâmetros Gerais'!$C$11*'Parâmetros Gerais'!$C$12</f>
        <v>1.825264E-005</v>
      </c>
      <c r="L10" s="32" t="n">
        <f aca="false">G10*J10/K10</f>
        <v>136334.262527074</v>
      </c>
      <c r="M10" s="29" t="n">
        <f aca="false">0.11*('Parâmetros Gerais'!$C$13/J10+68/L10)^0.25</f>
        <v>0.0192311587344619</v>
      </c>
      <c r="N10" s="29" t="n">
        <f aca="false">(M10/J10)*(G10^2)/(2*'Parâmetros Gerais'!$C$11)</f>
        <v>1.20990558208673</v>
      </c>
      <c r="O10" s="33" t="n">
        <v>8</v>
      </c>
      <c r="P10" s="33" t="n">
        <v>3</v>
      </c>
      <c r="Q10" s="34" t="n">
        <f aca="false">O10+P10</f>
        <v>11</v>
      </c>
      <c r="R10" s="35" t="n">
        <f aca="false">N10*Q10</f>
        <v>13.3089614029541</v>
      </c>
      <c r="S10" s="29" t="n">
        <f aca="false">N10</f>
        <v>1.20990558208673</v>
      </c>
      <c r="T10" s="29" t="n">
        <f aca="false">S10-$N$6</f>
        <v>-0.0958626367115669</v>
      </c>
      <c r="U10" s="41" t="str">
        <f aca="false">IF(ABS(T10)&lt;0.001,"✔ OK",IF(T10&gt;0,"↑ V muito alto","↓ V muito baixo"))</f>
        <v>↓ V muito baixo</v>
      </c>
    </row>
    <row r="11" customFormat="false" ht="21.75" hidden="false" customHeight="true" outlineLevel="0" collapsed="false">
      <c r="B11" s="42" t="n">
        <v>2</v>
      </c>
      <c r="C11" s="26"/>
      <c r="D11" s="27" t="n">
        <v>1</v>
      </c>
      <c r="E11" s="27" t="n">
        <v>0.25</v>
      </c>
      <c r="F11" s="40" t="n">
        <v>6</v>
      </c>
      <c r="G11" s="29" t="n">
        <f aca="false">F11*'Parâmetros Gerais'!$C$11</f>
        <v>7.224</v>
      </c>
      <c r="H11" s="29" t="n">
        <f aca="false">D11/G11</f>
        <v>0.138427464008859</v>
      </c>
      <c r="I11" s="30" t="n">
        <f aca="false">H11/E11</f>
        <v>0.553709856035437</v>
      </c>
      <c r="J11" s="30" t="n">
        <f aca="false">4*H11/(2*(E11+I11))</f>
        <v>0.34447123665174</v>
      </c>
      <c r="K11" s="31" t="n">
        <f aca="false">'Parâmetros Gerais'!$C$11*'Parâmetros Gerais'!$C$12</f>
        <v>1.825264E-005</v>
      </c>
      <c r="L11" s="32" t="n">
        <f aca="false">G11*J11/K11</f>
        <v>136334.262527074</v>
      </c>
      <c r="M11" s="29" t="n">
        <f aca="false">0.11*('Parâmetros Gerais'!$C$13/J11+68/L11)^0.25</f>
        <v>0.0192311587344619</v>
      </c>
      <c r="N11" s="29" t="n">
        <f aca="false">(M11/J11)*(G11^2)/(2*'Parâmetros Gerais'!$C$11)</f>
        <v>1.20990558208673</v>
      </c>
      <c r="O11" s="33" t="n">
        <v>8</v>
      </c>
      <c r="P11" s="33" t="n">
        <v>3</v>
      </c>
      <c r="Q11" s="34" t="n">
        <f aca="false">O11+P11</f>
        <v>11</v>
      </c>
      <c r="R11" s="35" t="n">
        <f aca="false">N11*Q11</f>
        <v>13.3089614029541</v>
      </c>
      <c r="S11" s="29" t="n">
        <f aca="false">N11</f>
        <v>1.20990558208673</v>
      </c>
      <c r="T11" s="29" t="n">
        <f aca="false">S11-$N$6</f>
        <v>-0.0958626367115669</v>
      </c>
      <c r="U11" s="41" t="str">
        <f aca="false">IF(ABS(T11)&lt;0.001,"✔ OK",IF(T11&gt;0,"↑ V muito alto","↓ V muito baixo"))</f>
        <v>↓ V muito baixo</v>
      </c>
    </row>
    <row r="12" customFormat="false" ht="21.75" hidden="false" customHeight="true" outlineLevel="0" collapsed="false">
      <c r="B12" s="26" t="n">
        <v>3</v>
      </c>
      <c r="C12" s="26"/>
      <c r="D12" s="27" t="n">
        <v>1</v>
      </c>
      <c r="E12" s="27" t="n">
        <v>0.25</v>
      </c>
      <c r="F12" s="40" t="n">
        <v>6</v>
      </c>
      <c r="G12" s="29" t="n">
        <f aca="false">F12*'Parâmetros Gerais'!$C$11</f>
        <v>7.224</v>
      </c>
      <c r="H12" s="29" t="n">
        <f aca="false">D12/G12</f>
        <v>0.138427464008859</v>
      </c>
      <c r="I12" s="30" t="n">
        <f aca="false">H12/E12</f>
        <v>0.553709856035437</v>
      </c>
      <c r="J12" s="30" t="n">
        <f aca="false">4*H12/(2*(E12+I12))</f>
        <v>0.34447123665174</v>
      </c>
      <c r="K12" s="31" t="n">
        <f aca="false">'Parâmetros Gerais'!$C$11*'Parâmetros Gerais'!$C$12</f>
        <v>1.825264E-005</v>
      </c>
      <c r="L12" s="32" t="n">
        <f aca="false">G12*J12/K12</f>
        <v>136334.262527074</v>
      </c>
      <c r="M12" s="29" t="n">
        <f aca="false">0.11*('Parâmetros Gerais'!$C$13/J12+68/L12)^0.25</f>
        <v>0.0192311587344619</v>
      </c>
      <c r="N12" s="29" t="n">
        <f aca="false">(M12/J12)*(G12^2)/(2*'Parâmetros Gerais'!$C$11)</f>
        <v>1.20990558208673</v>
      </c>
      <c r="O12" s="33" t="n">
        <v>8</v>
      </c>
      <c r="P12" s="33" t="n">
        <v>3</v>
      </c>
      <c r="Q12" s="34" t="n">
        <f aca="false">O12+P12</f>
        <v>11</v>
      </c>
      <c r="R12" s="35" t="n">
        <f aca="false">N12*Q12</f>
        <v>13.3089614029541</v>
      </c>
      <c r="S12" s="29" t="n">
        <f aca="false">N12</f>
        <v>1.20990558208673</v>
      </c>
      <c r="T12" s="29" t="n">
        <f aca="false">S12-$N$6</f>
        <v>-0.0958626367115669</v>
      </c>
      <c r="U12" s="41" t="str">
        <f aca="false">IF(ABS(T12)&lt;0.001,"✔ OK",IF(T12&gt;0,"↑ V muito alto","↓ V muito baixo"))</f>
        <v>↓ V muito baixo</v>
      </c>
    </row>
    <row r="13" customFormat="false" ht="21.75" hidden="false" customHeight="true" outlineLevel="0" collapsed="false">
      <c r="B13" s="42" t="n">
        <v>4</v>
      </c>
      <c r="C13" s="26"/>
      <c r="D13" s="27" t="n">
        <v>1</v>
      </c>
      <c r="E13" s="27" t="n">
        <v>0.25</v>
      </c>
      <c r="F13" s="40" t="n">
        <v>6</v>
      </c>
      <c r="G13" s="29" t="n">
        <f aca="false">F13*'Parâmetros Gerais'!$C$11</f>
        <v>7.224</v>
      </c>
      <c r="H13" s="29" t="n">
        <f aca="false">D13/G13</f>
        <v>0.138427464008859</v>
      </c>
      <c r="I13" s="30" t="n">
        <f aca="false">H13/E13</f>
        <v>0.553709856035437</v>
      </c>
      <c r="J13" s="30" t="n">
        <f aca="false">4*H13/(2*(E13+I13))</f>
        <v>0.34447123665174</v>
      </c>
      <c r="K13" s="31" t="n">
        <f aca="false">'Parâmetros Gerais'!$C$11*'Parâmetros Gerais'!$C$12</f>
        <v>1.825264E-005</v>
      </c>
      <c r="L13" s="32" t="n">
        <f aca="false">G13*J13/K13</f>
        <v>136334.262527074</v>
      </c>
      <c r="M13" s="29" t="n">
        <f aca="false">0.11*('Parâmetros Gerais'!$C$13/J13+68/L13)^0.25</f>
        <v>0.0192311587344619</v>
      </c>
      <c r="N13" s="29" t="n">
        <f aca="false">(M13/J13)*(G13^2)/(2*'Parâmetros Gerais'!$C$11)</f>
        <v>1.20990558208673</v>
      </c>
      <c r="O13" s="33" t="n">
        <v>8</v>
      </c>
      <c r="P13" s="33" t="n">
        <v>3</v>
      </c>
      <c r="Q13" s="34" t="n">
        <f aca="false">O13+P13</f>
        <v>11</v>
      </c>
      <c r="R13" s="35" t="n">
        <f aca="false">N13*Q13</f>
        <v>13.3089614029541</v>
      </c>
      <c r="S13" s="29" t="n">
        <f aca="false">N13</f>
        <v>1.20990558208673</v>
      </c>
      <c r="T13" s="29" t="n">
        <f aca="false">S13-$N$6</f>
        <v>-0.0958626367115669</v>
      </c>
      <c r="U13" s="41" t="str">
        <f aca="false">IF(ABS(T13)&lt;0.001,"✔ OK",IF(T13&gt;0,"↑ V muito alto","↓ V muito baixo"))</f>
        <v>↓ V muito baixo</v>
      </c>
    </row>
    <row r="14" customFormat="false" ht="21.75" hidden="false" customHeight="true" outlineLevel="0" collapsed="false">
      <c r="B14" s="26" t="n">
        <v>5</v>
      </c>
      <c r="C14" s="26"/>
      <c r="D14" s="27" t="n">
        <v>1</v>
      </c>
      <c r="E14" s="27" t="n">
        <v>0.25</v>
      </c>
      <c r="F14" s="40" t="n">
        <v>6</v>
      </c>
      <c r="G14" s="29" t="n">
        <f aca="false">F14*'Parâmetros Gerais'!$C$11</f>
        <v>7.224</v>
      </c>
      <c r="H14" s="29" t="n">
        <f aca="false">D14/G14</f>
        <v>0.138427464008859</v>
      </c>
      <c r="I14" s="30" t="n">
        <f aca="false">H14/E14</f>
        <v>0.553709856035437</v>
      </c>
      <c r="J14" s="30" t="n">
        <f aca="false">4*H14/(2*(E14+I14))</f>
        <v>0.34447123665174</v>
      </c>
      <c r="K14" s="31" t="n">
        <f aca="false">'Parâmetros Gerais'!$C$11*'Parâmetros Gerais'!$C$12</f>
        <v>1.825264E-005</v>
      </c>
      <c r="L14" s="32" t="n">
        <f aca="false">G14*J14/K14</f>
        <v>136334.262527074</v>
      </c>
      <c r="M14" s="29" t="n">
        <f aca="false">0.11*('Parâmetros Gerais'!$C$13/J14+68/L14)^0.25</f>
        <v>0.0192311587344619</v>
      </c>
      <c r="N14" s="29" t="n">
        <f aca="false">(M14/J14)*(G14^2)/(2*'Parâmetros Gerais'!$C$11)</f>
        <v>1.20990558208673</v>
      </c>
      <c r="O14" s="33" t="n">
        <v>8</v>
      </c>
      <c r="P14" s="33" t="n">
        <v>3</v>
      </c>
      <c r="Q14" s="34" t="n">
        <f aca="false">O14+P14</f>
        <v>11</v>
      </c>
      <c r="R14" s="35" t="n">
        <f aca="false">N14*Q14</f>
        <v>13.3089614029541</v>
      </c>
      <c r="S14" s="29" t="n">
        <f aca="false">N14</f>
        <v>1.20990558208673</v>
      </c>
      <c r="T14" s="29" t="n">
        <f aca="false">S14-$N$6</f>
        <v>-0.0958626367115669</v>
      </c>
      <c r="U14" s="41" t="str">
        <f aca="false">IF(ABS(T14)&lt;0.001,"✔ OK",IF(T14&gt;0,"↑ V muito alto","↓ V muito baixo"))</f>
        <v>↓ V muito baixo</v>
      </c>
    </row>
    <row r="15" customFormat="false" ht="21.75" hidden="false" customHeight="true" outlineLevel="0" collapsed="false">
      <c r="B15" s="42" t="n">
        <v>6</v>
      </c>
      <c r="C15" s="26"/>
      <c r="D15" s="27" t="n">
        <v>1</v>
      </c>
      <c r="E15" s="27" t="n">
        <v>0.25</v>
      </c>
      <c r="F15" s="40" t="n">
        <v>6</v>
      </c>
      <c r="G15" s="29" t="n">
        <f aca="false">F15*'Parâmetros Gerais'!$C$11</f>
        <v>7.224</v>
      </c>
      <c r="H15" s="29" t="n">
        <f aca="false">D15/G15</f>
        <v>0.138427464008859</v>
      </c>
      <c r="I15" s="30" t="n">
        <f aca="false">H15/E15</f>
        <v>0.553709856035437</v>
      </c>
      <c r="J15" s="30" t="n">
        <f aca="false">4*H15/(2*(E15+I15))</f>
        <v>0.34447123665174</v>
      </c>
      <c r="K15" s="31" t="n">
        <f aca="false">'Parâmetros Gerais'!$C$11*'Parâmetros Gerais'!$C$12</f>
        <v>1.825264E-005</v>
      </c>
      <c r="L15" s="32" t="n">
        <f aca="false">G15*J15/K15</f>
        <v>136334.262527074</v>
      </c>
      <c r="M15" s="29" t="n">
        <f aca="false">0.11*('Parâmetros Gerais'!$C$13/J15+68/L15)^0.25</f>
        <v>0.0192311587344619</v>
      </c>
      <c r="N15" s="29" t="n">
        <f aca="false">(M15/J15)*(G15^2)/(2*'Parâmetros Gerais'!$C$11)</f>
        <v>1.20990558208673</v>
      </c>
      <c r="O15" s="33" t="n">
        <v>8</v>
      </c>
      <c r="P15" s="33" t="n">
        <v>3</v>
      </c>
      <c r="Q15" s="34" t="n">
        <f aca="false">O15+P15</f>
        <v>11</v>
      </c>
      <c r="R15" s="35" t="n">
        <f aca="false">N15*Q15</f>
        <v>13.3089614029541</v>
      </c>
      <c r="S15" s="29" t="n">
        <f aca="false">N15</f>
        <v>1.20990558208673</v>
      </c>
      <c r="T15" s="29" t="n">
        <f aca="false">S15-$N$6</f>
        <v>-0.0958626367115669</v>
      </c>
      <c r="U15" s="41" t="str">
        <f aca="false">IF(ABS(T15)&lt;0.001,"✔ OK",IF(T15&gt;0,"↑ V muito alto","↓ V muito baixo"))</f>
        <v>↓ V muito baixo</v>
      </c>
    </row>
    <row r="16" customFormat="false" ht="21.75" hidden="false" customHeight="true" outlineLevel="0" collapsed="false">
      <c r="B16" s="26" t="n">
        <v>7</v>
      </c>
      <c r="C16" s="26"/>
      <c r="D16" s="27" t="n">
        <v>1</v>
      </c>
      <c r="E16" s="27" t="n">
        <v>0.25</v>
      </c>
      <c r="F16" s="40" t="n">
        <v>6</v>
      </c>
      <c r="G16" s="29" t="n">
        <f aca="false">F16*'Parâmetros Gerais'!$C$11</f>
        <v>7.224</v>
      </c>
      <c r="H16" s="29" t="n">
        <f aca="false">D16/G16</f>
        <v>0.138427464008859</v>
      </c>
      <c r="I16" s="30" t="n">
        <f aca="false">H16/E16</f>
        <v>0.553709856035437</v>
      </c>
      <c r="J16" s="30" t="n">
        <f aca="false">4*H16/(2*(E16+I16))</f>
        <v>0.34447123665174</v>
      </c>
      <c r="K16" s="31" t="n">
        <f aca="false">'Parâmetros Gerais'!$C$11*'Parâmetros Gerais'!$C$12</f>
        <v>1.825264E-005</v>
      </c>
      <c r="L16" s="32" t="n">
        <f aca="false">G16*J16/K16</f>
        <v>136334.262527074</v>
      </c>
      <c r="M16" s="29" t="n">
        <f aca="false">0.11*('Parâmetros Gerais'!$C$13/J16+68/L16)^0.25</f>
        <v>0.0192311587344619</v>
      </c>
      <c r="N16" s="29" t="n">
        <f aca="false">(M16/J16)*(G16^2)/(2*'Parâmetros Gerais'!$C$11)</f>
        <v>1.20990558208673</v>
      </c>
      <c r="O16" s="33" t="n">
        <v>8</v>
      </c>
      <c r="P16" s="33" t="n">
        <v>3</v>
      </c>
      <c r="Q16" s="34" t="n">
        <f aca="false">O16+P16</f>
        <v>11</v>
      </c>
      <c r="R16" s="35" t="n">
        <f aca="false">N16*Q16</f>
        <v>13.3089614029541</v>
      </c>
      <c r="S16" s="29" t="n">
        <f aca="false">N16</f>
        <v>1.20990558208673</v>
      </c>
      <c r="T16" s="29" t="n">
        <f aca="false">S16-$N$6</f>
        <v>-0.0958626367115669</v>
      </c>
      <c r="U16" s="41" t="str">
        <f aca="false">IF(ABS(T16)&lt;0.001,"✔ OK",IF(T16&gt;0,"↑ V muito alto","↓ V muito baixo"))</f>
        <v>↓ V muito baixo</v>
      </c>
    </row>
    <row r="17" customFormat="false" ht="21.75" hidden="false" customHeight="true" outlineLevel="0" collapsed="false">
      <c r="B17" s="42" t="n">
        <v>8</v>
      </c>
      <c r="C17" s="26"/>
      <c r="D17" s="27" t="n">
        <v>1</v>
      </c>
      <c r="E17" s="27" t="n">
        <v>0.25</v>
      </c>
      <c r="F17" s="40" t="n">
        <v>6</v>
      </c>
      <c r="G17" s="29" t="n">
        <f aca="false">F17*'Parâmetros Gerais'!$C$11</f>
        <v>7.224</v>
      </c>
      <c r="H17" s="29" t="n">
        <f aca="false">D17/G17</f>
        <v>0.138427464008859</v>
      </c>
      <c r="I17" s="30" t="n">
        <f aca="false">H17/E17</f>
        <v>0.553709856035437</v>
      </c>
      <c r="J17" s="30" t="n">
        <f aca="false">4*H17/(2*(E17+I17))</f>
        <v>0.34447123665174</v>
      </c>
      <c r="K17" s="31" t="n">
        <f aca="false">'Parâmetros Gerais'!$C$11*'Parâmetros Gerais'!$C$12</f>
        <v>1.825264E-005</v>
      </c>
      <c r="L17" s="32" t="n">
        <f aca="false">G17*J17/K17</f>
        <v>136334.262527074</v>
      </c>
      <c r="M17" s="29" t="n">
        <f aca="false">0.11*('Parâmetros Gerais'!$C$13/J17+68/L17)^0.25</f>
        <v>0.0192311587344619</v>
      </c>
      <c r="N17" s="29" t="n">
        <f aca="false">(M17/J17)*(G17^2)/(2*'Parâmetros Gerais'!$C$11)</f>
        <v>1.20990558208673</v>
      </c>
      <c r="O17" s="33" t="n">
        <v>8</v>
      </c>
      <c r="P17" s="33" t="n">
        <v>3</v>
      </c>
      <c r="Q17" s="34" t="n">
        <f aca="false">O17+P17</f>
        <v>11</v>
      </c>
      <c r="R17" s="35" t="n">
        <f aca="false">N17*Q17</f>
        <v>13.3089614029541</v>
      </c>
      <c r="S17" s="29" t="n">
        <f aca="false">N17</f>
        <v>1.20990558208673</v>
      </c>
      <c r="T17" s="29" t="n">
        <f aca="false">S17-$N$6</f>
        <v>-0.0958626367115669</v>
      </c>
      <c r="U17" s="41" t="str">
        <f aca="false">IF(ABS(T17)&lt;0.001,"✔ OK",IF(T17&gt;0,"↑ V muito alto","↓ V muito baixo"))</f>
        <v>↓ V muito baixo</v>
      </c>
    </row>
    <row r="18" customFormat="false" ht="21.75" hidden="false" customHeight="true" outlineLevel="0" collapsed="false">
      <c r="B18" s="26" t="n">
        <v>9</v>
      </c>
      <c r="C18" s="26"/>
      <c r="D18" s="27" t="n">
        <v>1</v>
      </c>
      <c r="E18" s="27" t="n">
        <v>0.25</v>
      </c>
      <c r="F18" s="40" t="n">
        <v>6</v>
      </c>
      <c r="G18" s="29" t="n">
        <f aca="false">F18*'Parâmetros Gerais'!$C$11</f>
        <v>7.224</v>
      </c>
      <c r="H18" s="29" t="n">
        <f aca="false">D18/G18</f>
        <v>0.138427464008859</v>
      </c>
      <c r="I18" s="30" t="n">
        <f aca="false">H18/E18</f>
        <v>0.553709856035437</v>
      </c>
      <c r="J18" s="30" t="n">
        <f aca="false">4*H18/(2*(E18+I18))</f>
        <v>0.34447123665174</v>
      </c>
      <c r="K18" s="31" t="n">
        <f aca="false">'Parâmetros Gerais'!$C$11*'Parâmetros Gerais'!$C$12</f>
        <v>1.825264E-005</v>
      </c>
      <c r="L18" s="32" t="n">
        <f aca="false">G18*J18/K18</f>
        <v>136334.262527074</v>
      </c>
      <c r="M18" s="29" t="n">
        <f aca="false">0.11*('Parâmetros Gerais'!$C$13/J18+68/L18)^0.25</f>
        <v>0.0192311587344619</v>
      </c>
      <c r="N18" s="29" t="n">
        <f aca="false">(M18/J18)*(G18^2)/(2*'Parâmetros Gerais'!$C$11)</f>
        <v>1.20990558208673</v>
      </c>
      <c r="O18" s="33" t="n">
        <v>8</v>
      </c>
      <c r="P18" s="33" t="n">
        <v>3</v>
      </c>
      <c r="Q18" s="34" t="n">
        <f aca="false">O18+P18</f>
        <v>11</v>
      </c>
      <c r="R18" s="35" t="n">
        <f aca="false">N18*Q18</f>
        <v>13.3089614029541</v>
      </c>
      <c r="S18" s="29" t="n">
        <f aca="false">N18</f>
        <v>1.20990558208673</v>
      </c>
      <c r="T18" s="29" t="n">
        <f aca="false">S18-$N$6</f>
        <v>-0.0958626367115669</v>
      </c>
      <c r="U18" s="41" t="str">
        <f aca="false">IF(ABS(T18)&lt;0.001,"✔ OK",IF(T18&gt;0,"↑ V muito alto","↓ V muito baixo"))</f>
        <v>↓ V muito baixo</v>
      </c>
    </row>
    <row r="19" customFormat="false" ht="21.75" hidden="false" customHeight="true" outlineLevel="0" collapsed="false">
      <c r="B19" s="42" t="n">
        <v>10</v>
      </c>
      <c r="C19" s="26"/>
      <c r="D19" s="27" t="n">
        <v>1</v>
      </c>
      <c r="E19" s="27" t="n">
        <v>0.25</v>
      </c>
      <c r="F19" s="40" t="n">
        <v>6</v>
      </c>
      <c r="G19" s="29" t="n">
        <f aca="false">F19*'Parâmetros Gerais'!$C$11</f>
        <v>7.224</v>
      </c>
      <c r="H19" s="29" t="n">
        <f aca="false">D19/G19</f>
        <v>0.138427464008859</v>
      </c>
      <c r="I19" s="30" t="n">
        <f aca="false">H19/E19</f>
        <v>0.553709856035437</v>
      </c>
      <c r="J19" s="30" t="n">
        <f aca="false">4*H19/(2*(E19+I19))</f>
        <v>0.34447123665174</v>
      </c>
      <c r="K19" s="31" t="n">
        <f aca="false">'Parâmetros Gerais'!$C$11*'Parâmetros Gerais'!$C$12</f>
        <v>1.825264E-005</v>
      </c>
      <c r="L19" s="32" t="n">
        <f aca="false">G19*J19/K19</f>
        <v>136334.262527074</v>
      </c>
      <c r="M19" s="29" t="n">
        <f aca="false">0.11*('Parâmetros Gerais'!$C$13/J19+68/L19)^0.25</f>
        <v>0.0192311587344619</v>
      </c>
      <c r="N19" s="29" t="n">
        <f aca="false">(M19/J19)*(G19^2)/(2*'Parâmetros Gerais'!$C$11)</f>
        <v>1.20990558208673</v>
      </c>
      <c r="O19" s="33" t="n">
        <v>8</v>
      </c>
      <c r="P19" s="33" t="n">
        <v>3</v>
      </c>
      <c r="Q19" s="34" t="n">
        <f aca="false">O19+P19</f>
        <v>11</v>
      </c>
      <c r="R19" s="35" t="n">
        <f aca="false">N19*Q19</f>
        <v>13.3089614029541</v>
      </c>
      <c r="S19" s="29" t="n">
        <f aca="false">N19</f>
        <v>1.20990558208673</v>
      </c>
      <c r="T19" s="29" t="n">
        <f aca="false">S19-$N$6</f>
        <v>-0.0958626367115669</v>
      </c>
      <c r="U19" s="41" t="str">
        <f aca="false">IF(ABS(T19)&lt;0.001,"✔ OK",IF(T19&gt;0,"↑ V muito alto","↓ V muito baixo"))</f>
        <v>↓ V muito baixo</v>
      </c>
    </row>
    <row r="21" customFormat="false" ht="19.5" hidden="false" customHeight="true" outlineLevel="0" collapsed="false">
      <c r="B21" s="43" t="s">
        <v>82</v>
      </c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</row>
    <row r="22" customFormat="false" ht="18" hidden="false" customHeight="true" outlineLevel="0" collapsed="false">
      <c r="B22" s="44" t="s">
        <v>83</v>
      </c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</row>
  </sheetData>
  <mergeCells count="8">
    <mergeCell ref="B2:R2"/>
    <mergeCell ref="B3:R3"/>
    <mergeCell ref="B4:R4"/>
    <mergeCell ref="B7:M7"/>
    <mergeCell ref="O7:R7"/>
    <mergeCell ref="B8:R8"/>
    <mergeCell ref="B21:U21"/>
    <mergeCell ref="B22:U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50"/>
    <col collapsed="false" customWidth="true" hidden="false" outlineLevel="0" max="6" min="4" style="0" width="18"/>
    <col collapsed="false" customWidth="true" hidden="false" outlineLevel="0" max="7" min="7" style="0" width="20"/>
  </cols>
  <sheetData>
    <row r="2" customFormat="false" ht="30" hidden="false" customHeight="true" outlineLevel="0" collapsed="false">
      <c r="B2" s="16" t="s">
        <v>84</v>
      </c>
      <c r="C2" s="16"/>
      <c r="D2" s="16"/>
      <c r="E2" s="16"/>
      <c r="F2" s="16"/>
      <c r="G2" s="16"/>
    </row>
    <row r="3" customFormat="false" ht="18" hidden="false" customHeight="true" outlineLevel="0" collapsed="false">
      <c r="B3" s="23" t="s">
        <v>85</v>
      </c>
      <c r="C3" s="23"/>
      <c r="D3" s="23"/>
      <c r="E3" s="23"/>
      <c r="F3" s="23"/>
      <c r="G3" s="23"/>
    </row>
    <row r="5" customFormat="false" ht="36" hidden="false" customHeight="true" outlineLevel="0" collapsed="false">
      <c r="B5" s="45" t="s">
        <v>86</v>
      </c>
      <c r="C5" s="45" t="s">
        <v>87</v>
      </c>
      <c r="D5" s="45" t="s">
        <v>88</v>
      </c>
      <c r="E5" s="45" t="s">
        <v>89</v>
      </c>
      <c r="F5" s="45" t="s">
        <v>90</v>
      </c>
      <c r="G5" s="45" t="s">
        <v>91</v>
      </c>
    </row>
    <row r="6" customFormat="false" ht="21.75" hidden="false" customHeight="true" outlineLevel="0" collapsed="false">
      <c r="B6" s="46" t="s">
        <v>92</v>
      </c>
      <c r="C6" s="6" t="s">
        <v>93</v>
      </c>
      <c r="D6" s="28" t="n">
        <v>0</v>
      </c>
      <c r="E6" s="35" t="n">
        <f aca="false">MAX($D$6:$D$11)</f>
        <v>0</v>
      </c>
      <c r="F6" s="35" t="n">
        <f aca="false">D6-E6</f>
        <v>0</v>
      </c>
      <c r="G6" s="41" t="str">
        <f aca="false">IF(ABS(F6)&lt;0.5,"✔ Balanceado",IF(F6&lt;0,"⚠ Redimensionar ramal","⚠ Ramal curto demais"))</f>
        <v>✔ Balanceado</v>
      </c>
    </row>
    <row r="7" customFormat="false" ht="21.75" hidden="false" customHeight="true" outlineLevel="0" collapsed="false">
      <c r="B7" s="46" t="s">
        <v>94</v>
      </c>
      <c r="C7" s="6" t="s">
        <v>95</v>
      </c>
      <c r="D7" s="28" t="n">
        <v>0</v>
      </c>
      <c r="E7" s="35" t="n">
        <f aca="false">MAX($D$6:$D$11)</f>
        <v>0</v>
      </c>
      <c r="F7" s="35" t="n">
        <f aca="false">D7-E7</f>
        <v>0</v>
      </c>
      <c r="G7" s="41" t="str">
        <f aca="false">IF(ABS(F7)&lt;0.5,"✔ Balanceado",IF(F7&lt;0,"⚠ Redimensionar ramal","⚠ Ramal curto demais"))</f>
        <v>✔ Balanceado</v>
      </c>
    </row>
    <row r="8" customFormat="false" ht="21.75" hidden="false" customHeight="true" outlineLevel="0" collapsed="false">
      <c r="B8" s="46" t="s">
        <v>96</v>
      </c>
      <c r="C8" s="6" t="s">
        <v>97</v>
      </c>
      <c r="D8" s="28" t="n">
        <v>0</v>
      </c>
      <c r="E8" s="35" t="n">
        <f aca="false">MAX($D$6:$D$11)</f>
        <v>0</v>
      </c>
      <c r="F8" s="35" t="n">
        <f aca="false">D8-E8</f>
        <v>0</v>
      </c>
      <c r="G8" s="41" t="str">
        <f aca="false">IF(ABS(F8)&lt;0.5,"✔ Balanceado",IF(F8&lt;0,"⚠ Redimensionar ramal","⚠ Ramal curto demais"))</f>
        <v>✔ Balanceado</v>
      </c>
    </row>
    <row r="9" customFormat="false" ht="21.75" hidden="false" customHeight="true" outlineLevel="0" collapsed="false">
      <c r="B9" s="46" t="s">
        <v>98</v>
      </c>
      <c r="C9" s="6" t="s">
        <v>99</v>
      </c>
      <c r="D9" s="28" t="n">
        <v>0</v>
      </c>
      <c r="E9" s="35" t="n">
        <f aca="false">MAX($D$6:$D$11)</f>
        <v>0</v>
      </c>
      <c r="F9" s="35" t="n">
        <f aca="false">D9-E9</f>
        <v>0</v>
      </c>
      <c r="G9" s="41" t="str">
        <f aca="false">IF(ABS(F9)&lt;0.5,"✔ Balanceado",IF(F9&lt;0,"⚠ Redimensionar ramal","⚠ Ramal curto demais"))</f>
        <v>✔ Balanceado</v>
      </c>
    </row>
    <row r="10" customFormat="false" ht="21.75" hidden="false" customHeight="true" outlineLevel="0" collapsed="false">
      <c r="B10" s="46" t="s">
        <v>100</v>
      </c>
      <c r="C10" s="6" t="s">
        <v>101</v>
      </c>
      <c r="D10" s="28" t="n">
        <v>0</v>
      </c>
      <c r="E10" s="35" t="n">
        <f aca="false">MAX($D$6:$D$11)</f>
        <v>0</v>
      </c>
      <c r="F10" s="35" t="n">
        <f aca="false">D10-E10</f>
        <v>0</v>
      </c>
      <c r="G10" s="41" t="str">
        <f aca="false">IF(ABS(F10)&lt;0.5,"✔ Balanceado",IF(F10&lt;0,"⚠ Redimensionar ramal","⚠ Ramal curto demais"))</f>
        <v>✔ Balanceado</v>
      </c>
    </row>
    <row r="11" customFormat="false" ht="21.75" hidden="false" customHeight="true" outlineLevel="0" collapsed="false">
      <c r="B11" s="46" t="s">
        <v>102</v>
      </c>
      <c r="C11" s="6" t="s">
        <v>103</v>
      </c>
      <c r="D11" s="28" t="n">
        <v>0</v>
      </c>
      <c r="E11" s="35" t="n">
        <f aca="false">MAX($D$6:$D$11)</f>
        <v>0</v>
      </c>
      <c r="F11" s="35" t="n">
        <f aca="false">D11-E11</f>
        <v>0</v>
      </c>
      <c r="G11" s="41" t="str">
        <f aca="false">IF(ABS(F11)&lt;0.5,"✔ Balanceado",IF(F11&lt;0,"⚠ Redimensionar ramal","⚠ Ramal curto demais"))</f>
        <v>✔ Balanceado</v>
      </c>
    </row>
    <row r="13" customFormat="false" ht="18" hidden="false" customHeight="true" outlineLevel="0" collapsed="false">
      <c r="B13" s="43" t="s">
        <v>104</v>
      </c>
      <c r="C13" s="43"/>
      <c r="D13" s="43"/>
      <c r="E13" s="43"/>
      <c r="F13" s="43"/>
      <c r="G13" s="43"/>
    </row>
  </sheetData>
  <mergeCells count="3">
    <mergeCell ref="B2:G2"/>
    <mergeCell ref="B3:G3"/>
    <mergeCell ref="B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5"/>
    <col collapsed="false" customWidth="true" hidden="false" outlineLevel="0" max="7" min="3" style="0" width="12"/>
  </cols>
  <sheetData>
    <row r="2" customFormat="false" ht="30" hidden="false" customHeight="true" outlineLevel="0" collapsed="false">
      <c r="B2" s="22" t="s">
        <v>105</v>
      </c>
      <c r="C2" s="22"/>
      <c r="D2" s="22"/>
      <c r="E2" s="22"/>
      <c r="F2" s="22"/>
      <c r="G2" s="22"/>
    </row>
    <row r="3" customFormat="false" ht="18" hidden="false" customHeight="true" outlineLevel="0" collapsed="false">
      <c r="B3" s="23" t="s">
        <v>106</v>
      </c>
      <c r="C3" s="23"/>
      <c r="D3" s="23"/>
      <c r="E3" s="23"/>
      <c r="F3" s="23"/>
      <c r="G3" s="23"/>
    </row>
    <row r="5" customFormat="false" ht="18" hidden="false" customHeight="true" outlineLevel="0" collapsed="false">
      <c r="B5" s="47" t="s">
        <v>107</v>
      </c>
      <c r="C5" s="3" t="s">
        <v>108</v>
      </c>
      <c r="D5" s="3"/>
      <c r="E5" s="3" t="s">
        <v>109</v>
      </c>
      <c r="F5" s="3"/>
      <c r="G5" s="48" t="s">
        <v>110</v>
      </c>
    </row>
    <row r="6" customFormat="false" ht="18" hidden="false" customHeight="true" outlineLevel="0" collapsed="false">
      <c r="B6" s="47"/>
      <c r="C6" s="49" t="s">
        <v>111</v>
      </c>
      <c r="D6" s="50" t="s">
        <v>112</v>
      </c>
      <c r="E6" s="49" t="s">
        <v>111</v>
      </c>
      <c r="F6" s="50" t="s">
        <v>112</v>
      </c>
      <c r="G6" s="48"/>
    </row>
    <row r="7" customFormat="false" ht="21.75" hidden="false" customHeight="true" outlineLevel="0" collapsed="false">
      <c r="B7" s="51" t="s">
        <v>113</v>
      </c>
      <c r="C7" s="52" t="n">
        <v>5</v>
      </c>
      <c r="D7" s="52" t="n">
        <v>4</v>
      </c>
      <c r="E7" s="52" t="n">
        <v>3</v>
      </c>
      <c r="F7" s="52" t="n">
        <v>3</v>
      </c>
      <c r="G7" s="52" t="n">
        <v>3</v>
      </c>
    </row>
    <row r="8" customFormat="false" ht="21.75" hidden="false" customHeight="true" outlineLevel="0" collapsed="false">
      <c r="B8" s="53" t="s">
        <v>114</v>
      </c>
      <c r="C8" s="54" t="n">
        <v>7.5</v>
      </c>
      <c r="D8" s="54" t="n">
        <v>6.5</v>
      </c>
      <c r="E8" s="54" t="n">
        <v>6</v>
      </c>
      <c r="F8" s="54" t="n">
        <v>5</v>
      </c>
      <c r="G8" s="54" t="n">
        <v>5</v>
      </c>
    </row>
    <row r="9" customFormat="false" ht="21.75" hidden="false" customHeight="true" outlineLevel="0" collapsed="false">
      <c r="B9" s="51" t="s">
        <v>115</v>
      </c>
      <c r="C9" s="52" t="n">
        <v>10</v>
      </c>
      <c r="D9" s="52" t="n">
        <v>7.5</v>
      </c>
      <c r="E9" s="52" t="n">
        <v>8</v>
      </c>
      <c r="F9" s="52" t="n">
        <v>6</v>
      </c>
      <c r="G9" s="52" t="n">
        <v>6</v>
      </c>
    </row>
    <row r="10" customFormat="false" ht="21.75" hidden="false" customHeight="true" outlineLevel="0" collapsed="false">
      <c r="B10" s="53" t="s">
        <v>116</v>
      </c>
      <c r="C10" s="54" t="n">
        <v>6.5</v>
      </c>
      <c r="D10" s="54" t="n">
        <v>5.5</v>
      </c>
      <c r="E10" s="54" t="n">
        <v>5</v>
      </c>
      <c r="F10" s="54" t="n">
        <v>4</v>
      </c>
      <c r="G10" s="54" t="n">
        <v>4</v>
      </c>
    </row>
    <row r="11" customFormat="false" ht="21.75" hidden="false" customHeight="true" outlineLevel="0" collapsed="false">
      <c r="B11" s="51" t="s">
        <v>117</v>
      </c>
      <c r="C11" s="52" t="n">
        <v>10</v>
      </c>
      <c r="D11" s="52" t="n">
        <v>7.5</v>
      </c>
      <c r="E11" s="52" t="n">
        <v>8</v>
      </c>
      <c r="F11" s="52" t="n">
        <v>6</v>
      </c>
      <c r="G11" s="52" t="n">
        <v>7.5</v>
      </c>
    </row>
    <row r="12" customFormat="false" ht="21.75" hidden="false" customHeight="true" outlineLevel="0" collapsed="false">
      <c r="B12" s="53" t="s">
        <v>118</v>
      </c>
      <c r="C12" s="54" t="n">
        <v>10</v>
      </c>
      <c r="D12" s="54" t="n">
        <v>7.5</v>
      </c>
      <c r="E12" s="54" t="n">
        <v>8</v>
      </c>
      <c r="F12" s="54" t="n">
        <v>6</v>
      </c>
      <c r="G12" s="54" t="n">
        <v>9</v>
      </c>
    </row>
    <row r="13" customFormat="false" ht="21.75" hidden="false" customHeight="true" outlineLevel="0" collapsed="false">
      <c r="B13" s="51" t="s">
        <v>119</v>
      </c>
      <c r="C13" s="52" t="n">
        <v>15</v>
      </c>
      <c r="D13" s="52" t="n">
        <v>9</v>
      </c>
      <c r="E13" s="52" t="n">
        <v>11</v>
      </c>
      <c r="F13" s="52" t="n">
        <v>7.5</v>
      </c>
      <c r="G13" s="52" t="n">
        <v>12.5</v>
      </c>
    </row>
    <row r="15" customFormat="false" ht="18" hidden="false" customHeight="true" outlineLevel="0" collapsed="false">
      <c r="B15" s="43" t="s">
        <v>120</v>
      </c>
      <c r="C15" s="43"/>
      <c r="D15" s="43"/>
      <c r="E15" s="43"/>
      <c r="F15" s="43"/>
      <c r="G15" s="43"/>
    </row>
  </sheetData>
  <mergeCells count="7">
    <mergeCell ref="B2:G2"/>
    <mergeCell ref="B3:G3"/>
    <mergeCell ref="B5:B6"/>
    <mergeCell ref="C5:D5"/>
    <mergeCell ref="E5:F5"/>
    <mergeCell ref="G5:G6"/>
    <mergeCell ref="B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2026-06-18T15:48:47Z</dcterms:created>
  <dc:creator>openpyxl</dc:creator>
  <dc:description/>
  <dc:language>en-US</dc:language>
  <cp:lastModifiedBy/>
  <dcterms:modified xsi:type="dcterms:W3CDTF">2026-06-18T15:48:47Z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